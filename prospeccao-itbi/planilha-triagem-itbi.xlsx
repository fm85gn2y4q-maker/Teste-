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Triage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<sst xmlns="http://schemas.openxmlformats.org/spreadsheetml/2006/main" count="34" uniqueCount="34">
  <si>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Configurações — Triagem de Restituição de ITBI (Tema 1113/STJ)</t>
  </si>
  <si>
    <t xml:space="preserve">Alíquota padrão do ITBI no município</t>
  </si>
  <si>
    <t xml:space="preserve">Valor mínimo de indébito para caso viável (R$)</t>
  </si>
  <si>
    <t xml:space="preserve">Honorários contratuais sobre o êxito (%)</t>
  </si>
  <si>
    <t xml:space="preserve">Data de referência (hoje)</t>
  </si>
  <si>
    <t xml:space="preserve">Resumo da carteira</t>
  </si>
  <si>
    <t xml:space="preserve">Leads cadastrados</t>
  </si>
  <si>
    <t xml:space="preserve">Casos viáveis ("SIM")</t>
  </si>
  <si>
    <t xml:space="preserve">Indébito total estimado (casos viáveis)</t>
  </si>
  <si>
    <t xml:space="preserve">Honorários potenciais (casos viáveis)</t>
  </si>
  <si>
    <t xml:space="preserve">LEGENDA: preencha apenas as células com fundo amarelo e fonte azul. As demais contêm fórmulas — não edite.</t>
  </si>
  <si>
    <t xml:space="preserve">Prazo de repetição de indébito: 5 anos contados do pagamento (art. 168, I, CTN). Base: STJ, Tema Repetitivo 1.113 (REsp 1.937.821/SP).</t>
  </si>
  <si>
    <t xml:space="preserve">Triagem de casos — ITBI pago a maior (base de cálculo acima do valor declarado)</t>
  </si>
  <si>
    <t xml:space="preserve">Preencha as colunas A–H e P (fonte azul). Colunas I–O são calculadas. A linha 4 é um exemplo — substitua pelos seus dados.</t>
  </si>
  <si>
    <t xml:space="preserve">Cliente / Lead</t>
  </si>
  <si>
    <t xml:space="preserve">Contato (WhatsApp / e-mail)</t>
  </si>
  <si>
    <t xml:space="preserve">Município</t>
  </si>
  <si>
    <t xml:space="preserve">Data do pagamento do ITBI</t>
  </si>
  <si>
    <t xml:space="preserve">Valor declarado da transação (R$)</t>
  </si>
  <si>
    <t xml:space="preserve">Base de cálculo cobrada (R$)</t>
  </si>
  <si>
    <t xml:space="preserve">Alíquota aplicada (%)</t>
  </si>
  <si>
    <t xml:space="preserve">ITBI efetivamente pago (R$) — opcional</t>
  </si>
  <si>
    <t xml:space="preserve">ITBI devido sobre o valor declarado (R$)</t>
  </si>
  <si>
    <t xml:space="preserve">Indébito estimado (R$)</t>
  </si>
  <si>
    <t xml:space="preserve">Prescreve em</t>
  </si>
  <si>
    <t xml:space="preserve">Dias até prescrever</t>
  </si>
  <si>
    <t xml:space="preserve">Situação da prescrição</t>
  </si>
  <si>
    <t xml:space="preserve">Viável?</t>
  </si>
  <si>
    <t xml:space="preserve">Honorários estimados (R$)</t>
  </si>
  <si>
    <t xml:space="preserve">Observações</t>
  </si>
  <si>
    <t xml:space="preserve">EXEMPLO — João da Silva (substituir)</t>
  </si>
  <si>
    <t xml:space="preserve">(11) 99999-0000 / joao@email.com</t>
  </si>
  <si>
    <t xml:space="preserve">São Paulo</t>
  </si>
  <si>
    <t xml:space="preserve">Guia e escritura recebidas; caso do valor venal de referência.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</si>
</sst>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&quot;R$ &quot;#,##0.00"/>
    <numFmt numFmtId="167" formatCode="dd/mm/yyyy"/>
    <numFmt numFmtId="168" formatCode="General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F2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DF2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0.03</v>
      </c>
    </row>
    <row r="4" customFormat="false" ht="15" hidden="false" customHeight="false" outlineLevel="0" collapsed="false">
      <c r="A4" s="2" t="s">
        <v>2</v>
      </c>
      <c r="B4" s="4" t="n">
        <v>2000</v>
      </c>
    </row>
    <row r="5" customFormat="false" ht="15" hidden="false" customHeight="false" outlineLevel="0" collapsed="false">
      <c r="A5" s="2" t="s">
        <v>3</v>
      </c>
      <c r="B5" s="3" t="n">
        <v>0.3</v>
      </c>
    </row>
    <row r="6" customFormat="false" ht="15" hidden="false" customHeight="false" outlineLevel="0" collapsed="false">
      <c r="A6" s="2" t="s">
        <v>4</v>
      </c>
      <c r="B6" s="5" t="n">
        <f aca="true">TODAY()</f>
        <v>46222</v>
      </c>
    </row>
    <row r="8" customFormat="false" ht="15" hidden="false" customHeight="false" outlineLevel="0" collapsed="false">
      <c r="A8" s="6" t="s">
        <v>5</v>
      </c>
    </row>
    <row r="9" customFormat="false" ht="15" hidden="false" customHeight="false" outlineLevel="0" collapsed="false">
      <c r="A9" s="2" t="s">
        <v>6</v>
      </c>
      <c r="B9" s="7" t="n">
        <f aca="false">COUNTA(Triagem!A4:A103)</f>
        <v>1</v>
      </c>
    </row>
    <row r="10" customFormat="false" ht="15" hidden="false" customHeight="false" outlineLevel="0" collapsed="false">
      <c r="A10" s="2" t="s">
        <v>7</v>
      </c>
      <c r="B10" s="7" t="n">
        <f aca="false">COUNTIF(Triagem!N4:N103,"SIM")</f>
        <v>1</v>
      </c>
    </row>
    <row r="11" customFormat="false" ht="15" hidden="false" customHeight="false" outlineLevel="0" collapsed="false">
      <c r="A11" s="2" t="s">
        <v>8</v>
      </c>
      <c r="B11" s="8" t="n">
        <f aca="false">SUMIF(Triagem!N4:N103,"SIM",Triagem!J4:J103)</f>
        <v>4500</v>
      </c>
    </row>
    <row r="12" customFormat="false" ht="15" hidden="false" customHeight="false" outlineLevel="0" collapsed="false">
      <c r="A12" s="2" t="s">
        <v>9</v>
      </c>
      <c r="B12" s="8" t="n">
        <f aca="false">SUMIF(Triagem!N4:N103,"SIM",Triagem!O4:O103)</f>
        <v>1350</v>
      </c>
    </row>
    <row r="14" customFormat="false" ht="15" hidden="false" customHeight="false" outlineLevel="0" collapsed="false">
      <c r="A14" s="9" t="s">
        <v>10</v>
      </c>
    </row>
    <row r="15" customFormat="false" ht="15" hidden="false" customHeight="false" outlineLevel="0" collapsed="false">
      <c r="A15" s="9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6.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9" t="s">
        <v>13</v>
      </c>
    </row>
    <row r="3" customFormat="false" ht="42" hidden="false" customHeight="true" outlineLevel="0" collapsed="false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</row>
    <row r="4" customFormat="false" ht="15" hidden="false" customHeight="false" outlineLevel="0" collapsed="false">
      <c r="A4" s="11" t="s">
        <v>30</v>
      </c>
      <c r="B4" s="11" t="s">
        <v>31</v>
      </c>
      <c r="C4" s="11" t="s">
        <v>32</v>
      </c>
      <c r="D4" s="12" t="n">
        <v>45366</v>
      </c>
      <c r="E4" s="13" t="n">
        <v>400000</v>
      </c>
      <c r="F4" s="13" t="n">
        <v>550000</v>
      </c>
      <c r="G4" s="14" t="n">
        <v>0.03</v>
      </c>
      <c r="H4" s="13" t="n">
        <v>16500</v>
      </c>
      <c r="I4" s="15" t="n">
        <f aca="false">IF(OR(E4="",G4=""),"",E4*G4)</f>
        <v>12000</v>
      </c>
      <c r="J4" s="15" t="n">
        <f aca="false">IF(OR(E4="",F4="",G4=""),"",MAX(0,IF(H4="",(F4-E4)*G4,H4-E4*G4)))</f>
        <v>4500</v>
      </c>
      <c r="K4" s="16" t="n">
        <f aca="false">IF(D4="","",EDATE(D4,60))</f>
        <v>47192</v>
      </c>
      <c r="L4" s="17" t="n">
        <f aca="false">IF(K4="","",K4-Config!$B$6)</f>
        <v>970</v>
      </c>
      <c r="M4" s="18" t="str">
        <f aca="false">IF(L4="","",IF(L4&lt;0,"PRESCRITO",IF(L4&lt;180,"URGENTE","OK")))</f>
        <v>OK</v>
      </c>
      <c r="N4" s="18" t="str">
        <f aca="false">IF(OR(D4="",J4=""),"",IF(M4="PRESCRITO","NÃO",IF(J4&gt;=Config!$B$4,"SIM","AVALIAR")))</f>
        <v>SIM</v>
      </c>
      <c r="O4" s="15" t="n">
        <f aca="false">IF(N4="SIM",J4*Config!$B$5,"")</f>
        <v>1350</v>
      </c>
      <c r="P4" s="11" t="s">
        <v>33</v>
      </c>
    </row>
    <row r="5" customFormat="false" ht="15" hidden="false" customHeight="false" outlineLevel="0" collapsed="false">
      <c r="A5" s="19"/>
      <c r="B5" s="19"/>
      <c r="C5" s="19"/>
      <c r="D5" s="20"/>
      <c r="E5" s="21"/>
      <c r="F5" s="21"/>
      <c r="G5" s="22"/>
      <c r="H5" s="21"/>
      <c r="I5" s="23" t="str">
        <f aca="false">IF(OR(E5="",G5=""),"",E5*G5)</f>
        <v/>
      </c>
      <c r="J5" s="23" t="str">
        <f aca="false">IF(OR(E5="",F5="",G5=""),"",MAX(0,IF(H5="",(F5-E5)*G5,H5-E5*G5)))</f>
        <v/>
      </c>
      <c r="K5" s="5" t="str">
        <f aca="false">IF(D5="","",EDATE(D5,60))</f>
        <v/>
      </c>
      <c r="L5" s="24" t="str">
        <f aca="false">IF(K5="","",K5-Config!$B$6)</f>
        <v/>
      </c>
      <c r="M5" s="25" t="str">
        <f aca="false">IF(L5="","",IF(L5&lt;0,"PRESCRITO",IF(L5&lt;180,"URGENTE","OK")))</f>
        <v/>
      </c>
      <c r="N5" s="25" t="str">
        <f aca="false">IF(OR(D5="",J5=""),"",IF(M5="PRESCRITO","NÃO",IF(J5&gt;=Config!$B$4,"SIM","AVALIAR")))</f>
        <v/>
      </c>
      <c r="O5" s="23" t="str">
        <f aca="false">IF(N5="SIM",J5*Config!$B$5,"")</f>
        <v/>
      </c>
      <c r="P5" s="19"/>
    </row>
    <row r="6" customFormat="false" ht="15" hidden="false" customHeight="false" outlineLevel="0" collapsed="false">
      <c r="A6" s="11"/>
      <c r="B6" s="11"/>
      <c r="C6" s="11"/>
      <c r="D6" s="12"/>
      <c r="E6" s="13"/>
      <c r="F6" s="13"/>
      <c r="G6" s="14"/>
      <c r="H6" s="13"/>
      <c r="I6" s="15" t="str">
        <f aca="false">IF(OR(E6="",G6=""),"",E6*G6)</f>
        <v/>
      </c>
      <c r="J6" s="15" t="str">
        <f aca="false">IF(OR(E6="",F6="",G6=""),"",MAX(0,IF(H6="",(F6-E6)*G6,H6-E6*G6)))</f>
        <v/>
      </c>
      <c r="K6" s="16" t="str">
        <f aca="false">IF(D6="","",EDATE(D6,60))</f>
        <v/>
      </c>
      <c r="L6" s="17" t="str">
        <f aca="false">IF(K6="","",K6-Config!$B$6)</f>
        <v/>
      </c>
      <c r="M6" s="18" t="str">
        <f aca="false">IF(L6="","",IF(L6&lt;0,"PRESCRITO",IF(L6&lt;180,"URGENTE","OK")))</f>
        <v/>
      </c>
      <c r="N6" s="18" t="str">
        <f aca="false">IF(OR(D6="",J6=""),"",IF(M6="PRESCRITO","NÃO",IF(J6&gt;=Config!$B$4,"SIM","AVALIAR")))</f>
        <v/>
      </c>
      <c r="O6" s="15" t="str">
        <f aca="false">IF(N6="SIM",J6*Config!$B$5,"")</f>
        <v/>
      </c>
      <c r="P6" s="11"/>
    </row>
    <row r="7" customFormat="false" ht="15" hidden="false" customHeight="false" outlineLevel="0" collapsed="false">
      <c r="A7" s="19"/>
      <c r="B7" s="19"/>
      <c r="C7" s="19"/>
      <c r="D7" s="20"/>
      <c r="E7" s="21"/>
      <c r="F7" s="21"/>
      <c r="G7" s="22"/>
      <c r="H7" s="21"/>
      <c r="I7" s="23" t="str">
        <f aca="false">IF(OR(E7="",G7=""),"",E7*G7)</f>
        <v/>
      </c>
      <c r="J7" s="23" t="str">
        <f aca="false">IF(OR(E7="",F7="",G7=""),"",MAX(0,IF(H7="",(F7-E7)*G7,H7-E7*G7)))</f>
        <v/>
      </c>
      <c r="K7" s="5" t="str">
        <f aca="false">IF(D7="","",EDATE(D7,60))</f>
        <v/>
      </c>
      <c r="L7" s="24" t="str">
        <f aca="false">IF(K7="","",K7-Config!$B$6)</f>
        <v/>
      </c>
      <c r="M7" s="25" t="str">
        <f aca="false">IF(L7="","",IF(L7&lt;0,"PRESCRITO",IF(L7&lt;180,"URGENTE","OK")))</f>
        <v/>
      </c>
      <c r="N7" s="25" t="str">
        <f aca="false">IF(OR(D7="",J7=""),"",IF(M7="PRESCRITO","NÃO",IF(J7&gt;=Config!$B$4,"SIM","AVALIAR")))</f>
        <v/>
      </c>
      <c r="O7" s="23" t="str">
        <f aca="false">IF(N7="SIM",J7*Config!$B$5,"")</f>
        <v/>
      </c>
      <c r="P7" s="19"/>
    </row>
    <row r="8" customFormat="false" ht="15" hidden="false" customHeight="false" outlineLevel="0" collapsed="false">
      <c r="A8" s="11"/>
      <c r="B8" s="11"/>
      <c r="C8" s="11"/>
      <c r="D8" s="12"/>
      <c r="E8" s="13"/>
      <c r="F8" s="13"/>
      <c r="G8" s="14"/>
      <c r="H8" s="13"/>
      <c r="I8" s="15" t="str">
        <f aca="false">IF(OR(E8="",G8=""),"",E8*G8)</f>
        <v/>
      </c>
      <c r="J8" s="15" t="str">
        <f aca="false">IF(OR(E8="",F8="",G8=""),"",MAX(0,IF(H8="",(F8-E8)*G8,H8-E8*G8)))</f>
        <v/>
      </c>
      <c r="K8" s="16" t="str">
        <f aca="false">IF(D8="","",EDATE(D8,60))</f>
        <v/>
      </c>
      <c r="L8" s="17" t="str">
        <f aca="false">IF(K8="","",K8-Config!$B$6)</f>
        <v/>
      </c>
      <c r="M8" s="18" t="str">
        <f aca="false">IF(L8="","",IF(L8&lt;0,"PRESCRITO",IF(L8&lt;180,"URGENTE","OK")))</f>
        <v/>
      </c>
      <c r="N8" s="18" t="str">
        <f aca="false">IF(OR(D8="",J8=""),"",IF(M8="PRESCRITO","NÃO",IF(J8&gt;=Config!$B$4,"SIM","AVALIAR")))</f>
        <v/>
      </c>
      <c r="O8" s="15" t="str">
        <f aca="false">IF(N8="SIM",J8*Config!$B$5,"")</f>
        <v/>
      </c>
      <c r="P8" s="11"/>
    </row>
    <row r="9" customFormat="false" ht="15" hidden="false" customHeight="false" outlineLevel="0" collapsed="false">
      <c r="A9" s="19"/>
      <c r="B9" s="19"/>
      <c r="C9" s="19"/>
      <c r="D9" s="20"/>
      <c r="E9" s="21"/>
      <c r="F9" s="21"/>
      <c r="G9" s="22"/>
      <c r="H9" s="21"/>
      <c r="I9" s="23" t="str">
        <f aca="false">IF(OR(E9="",G9=""),"",E9*G9)</f>
        <v/>
      </c>
      <c r="J9" s="23" t="str">
        <f aca="false">IF(OR(E9="",F9="",G9=""),"",MAX(0,IF(H9="",(F9-E9)*G9,H9-E9*G9)))</f>
        <v/>
      </c>
      <c r="K9" s="5" t="str">
        <f aca="false">IF(D9="","",EDATE(D9,60))</f>
        <v/>
      </c>
      <c r="L9" s="24" t="str">
        <f aca="false">IF(K9="","",K9-Config!$B$6)</f>
        <v/>
      </c>
      <c r="M9" s="25" t="str">
        <f aca="false">IF(L9="","",IF(L9&lt;0,"PRESCRITO",IF(L9&lt;180,"URGENTE","OK")))</f>
        <v/>
      </c>
      <c r="N9" s="25" t="str">
        <f aca="false">IF(OR(D9="",J9=""),"",IF(M9="PRESCRITO","NÃO",IF(J9&gt;=Config!$B$4,"SIM","AVALIAR")))</f>
        <v/>
      </c>
      <c r="O9" s="23" t="str">
        <f aca="false">IF(N9="SIM",J9*Config!$B$5,"")</f>
        <v/>
      </c>
      <c r="P9" s="19"/>
    </row>
    <row r="10" customFormat="false" ht="15" hidden="false" customHeight="false" outlineLevel="0" collapsed="false">
      <c r="A10" s="11"/>
      <c r="B10" s="11"/>
      <c r="C10" s="11"/>
      <c r="D10" s="12"/>
      <c r="E10" s="13"/>
      <c r="F10" s="13"/>
      <c r="G10" s="14"/>
      <c r="H10" s="13"/>
      <c r="I10" s="15" t="str">
        <f aca="false">IF(OR(E10="",G10=""),"",E10*G10)</f>
        <v/>
      </c>
      <c r="J10" s="15" t="str">
        <f aca="false">IF(OR(E10="",F10="",G10=""),"",MAX(0,IF(H10="",(F10-E10)*G10,H10-E10*G10)))</f>
        <v/>
      </c>
      <c r="K10" s="16" t="str">
        <f aca="false">IF(D10="","",EDATE(D10,60))</f>
        <v/>
      </c>
      <c r="L10" s="17" t="str">
        <f aca="false">IF(K10="","",K10-Config!$B$6)</f>
        <v/>
      </c>
      <c r="M10" s="18" t="str">
        <f aca="false">IF(L10="","",IF(L10&lt;0,"PRESCRITO",IF(L10&lt;180,"URGENTE","OK")))</f>
        <v/>
      </c>
      <c r="N10" s="18" t="str">
        <f aca="false">IF(OR(D10="",J10=""),"",IF(M10="PRESCRITO","NÃO",IF(J10&gt;=Config!$B$4,"SIM","AVALIAR")))</f>
        <v/>
      </c>
      <c r="O10" s="15" t="str">
        <f aca="false">IF(N10="SIM",J10*Config!$B$5,"")</f>
        <v/>
      </c>
      <c r="P10" s="11"/>
    </row>
    <row r="11" customFormat="false" ht="15" hidden="false" customHeight="false" outlineLevel="0" collapsed="false">
      <c r="A11" s="19"/>
      <c r="B11" s="19"/>
      <c r="C11" s="19"/>
      <c r="D11" s="20"/>
      <c r="E11" s="21"/>
      <c r="F11" s="21"/>
      <c r="G11" s="22"/>
      <c r="H11" s="21"/>
      <c r="I11" s="23" t="str">
        <f aca="false">IF(OR(E11="",G11=""),"",E11*G11)</f>
        <v/>
      </c>
      <c r="J11" s="23" t="str">
        <f aca="false">IF(OR(E11="",F11="",G11=""),"",MAX(0,IF(H11="",(F11-E11)*G11,H11-E11*G11)))</f>
        <v/>
      </c>
      <c r="K11" s="5" t="str">
        <f aca="false">IF(D11="","",EDATE(D11,60))</f>
        <v/>
      </c>
      <c r="L11" s="24" t="str">
        <f aca="false">IF(K11="","",K11-Config!$B$6)</f>
        <v/>
      </c>
      <c r="M11" s="25" t="str">
        <f aca="false">IF(L11="","",IF(L11&lt;0,"PRESCRITO",IF(L11&lt;180,"URGENTE","OK")))</f>
        <v/>
      </c>
      <c r="N11" s="25" t="str">
        <f aca="false">IF(OR(D11="",J11=""),"",IF(M11="PRESCRITO","NÃO",IF(J11&gt;=Config!$B$4,"SIM","AVALIAR")))</f>
        <v/>
      </c>
      <c r="O11" s="23" t="str">
        <f aca="false">IF(N11="SIM",J11*Config!$B$5,"")</f>
        <v/>
      </c>
      <c r="P11" s="19"/>
    </row>
    <row r="12" customFormat="false" ht="15" hidden="false" customHeight="false" outlineLevel="0" collapsed="false">
      <c r="A12" s="11"/>
      <c r="B12" s="11"/>
      <c r="C12" s="11"/>
      <c r="D12" s="12"/>
      <c r="E12" s="13"/>
      <c r="F12" s="13"/>
      <c r="G12" s="14"/>
      <c r="H12" s="13"/>
      <c r="I12" s="15" t="str">
        <f aca="false">IF(OR(E12="",G12=""),"",E12*G12)</f>
        <v/>
      </c>
      <c r="J12" s="15" t="str">
        <f aca="false">IF(OR(E12="",F12="",G12=""),"",MAX(0,IF(H12="",(F12-E12)*G12,H12-E12*G12)))</f>
        <v/>
      </c>
      <c r="K12" s="16" t="str">
        <f aca="false">IF(D12="","",EDATE(D12,60))</f>
        <v/>
      </c>
      <c r="L12" s="17" t="str">
        <f aca="false">IF(K12="","",K12-Config!$B$6)</f>
        <v/>
      </c>
      <c r="M12" s="18" t="str">
        <f aca="false">IF(L12="","",IF(L12&lt;0,"PRESCRITO",IF(L12&lt;180,"URGENTE","OK")))</f>
        <v/>
      </c>
      <c r="N12" s="18" t="str">
        <f aca="false">IF(OR(D12="",J12=""),"",IF(M12="PRESCRITO","NÃO",IF(J12&gt;=Config!$B$4,"SIM","AVALIAR")))</f>
        <v/>
      </c>
      <c r="O12" s="15" t="str">
        <f aca="false">IF(N12="SIM",J12*Config!$B$5,"")</f>
        <v/>
      </c>
      <c r="P12" s="11"/>
    </row>
    <row r="13" customFormat="false" ht="15" hidden="false" customHeight="false" outlineLevel="0" collapsed="false">
      <c r="A13" s="19"/>
      <c r="B13" s="19"/>
      <c r="C13" s="19"/>
      <c r="D13" s="20"/>
      <c r="E13" s="21"/>
      <c r="F13" s="21"/>
      <c r="G13" s="22"/>
      <c r="H13" s="21"/>
      <c r="I13" s="23" t="str">
        <f aca="false">IF(OR(E13="",G13=""),"",E13*G13)</f>
        <v/>
      </c>
      <c r="J13" s="23" t="str">
        <f aca="false">IF(OR(E13="",F13="",G13=""),"",MAX(0,IF(H13="",(F13-E13)*G13,H13-E13*G13)))</f>
        <v/>
      </c>
      <c r="K13" s="5" t="str">
        <f aca="false">IF(D13="","",EDATE(D13,60))</f>
        <v/>
      </c>
      <c r="L13" s="24" t="str">
        <f aca="false">IF(K13="","",K13-Config!$B$6)</f>
        <v/>
      </c>
      <c r="M13" s="25" t="str">
        <f aca="false">IF(L13="","",IF(L13&lt;0,"PRESCRITO",IF(L13&lt;180,"URGENTE","OK")))</f>
        <v/>
      </c>
      <c r="N13" s="25" t="str">
        <f aca="false">IF(OR(D13="",J13=""),"",IF(M13="PRESCRITO","NÃO",IF(J13&gt;=Config!$B$4,"SIM","AVALIAR")))</f>
        <v/>
      </c>
      <c r="O13" s="23" t="str">
        <f aca="false">IF(N13="SIM",J13*Config!$B$5,"")</f>
        <v/>
      </c>
      <c r="P13" s="19"/>
    </row>
    <row r="14" customFormat="false" ht="15" hidden="false" customHeight="false" outlineLevel="0" collapsed="false">
      <c r="A14" s="11"/>
      <c r="B14" s="11"/>
      <c r="C14" s="11"/>
      <c r="D14" s="12"/>
      <c r="E14" s="13"/>
      <c r="F14" s="13"/>
      <c r="G14" s="14"/>
      <c r="H14" s="13"/>
      <c r="I14" s="15" t="str">
        <f aca="false">IF(OR(E14="",G14=""),"",E14*G14)</f>
        <v/>
      </c>
      <c r="J14" s="15" t="str">
        <f aca="false">IF(OR(E14="",F14="",G14=""),"",MAX(0,IF(H14="",(F14-E14)*G14,H14-E14*G14)))</f>
        <v/>
      </c>
      <c r="K14" s="16" t="str">
        <f aca="false">IF(D14="","",EDATE(D14,60))</f>
        <v/>
      </c>
      <c r="L14" s="17" t="str">
        <f aca="false">IF(K14="","",K14-Config!$B$6)</f>
        <v/>
      </c>
      <c r="M14" s="18" t="str">
        <f aca="false">IF(L14="","",IF(L14&lt;0,"PRESCRITO",IF(L14&lt;180,"URGENTE","OK")))</f>
        <v/>
      </c>
      <c r="N14" s="18" t="str">
        <f aca="false">IF(OR(D14="",J14=""),"",IF(M14="PRESCRITO","NÃO",IF(J14&gt;=Config!$B$4,"SIM","AVALIAR")))</f>
        <v/>
      </c>
      <c r="O14" s="15" t="str">
        <f aca="false">IF(N14="SIM",J14*Config!$B$5,"")</f>
        <v/>
      </c>
      <c r="P14" s="11"/>
    </row>
    <row r="15" customFormat="false" ht="15" hidden="false" customHeight="false" outlineLevel="0" collapsed="false">
      <c r="A15" s="19"/>
      <c r="B15" s="19"/>
      <c r="C15" s="19"/>
      <c r="D15" s="20"/>
      <c r="E15" s="21"/>
      <c r="F15" s="21"/>
      <c r="G15" s="22"/>
      <c r="H15" s="21"/>
      <c r="I15" s="23" t="str">
        <f aca="false">IF(OR(E15="",G15=""),"",E15*G15)</f>
        <v/>
      </c>
      <c r="J15" s="23" t="str">
        <f aca="false">IF(OR(E15="",F15="",G15=""),"",MAX(0,IF(H15="",(F15-E15)*G15,H15-E15*G15)))</f>
        <v/>
      </c>
      <c r="K15" s="5" t="str">
        <f aca="false">IF(D15="","",EDATE(D15,60))</f>
        <v/>
      </c>
      <c r="L15" s="24" t="str">
        <f aca="false">IF(K15="","",K15-Config!$B$6)</f>
        <v/>
      </c>
      <c r="M15" s="25" t="str">
        <f aca="false">IF(L15="","",IF(L15&lt;0,"PRESCRITO",IF(L15&lt;180,"URGENTE","OK")))</f>
        <v/>
      </c>
      <c r="N15" s="25" t="str">
        <f aca="false">IF(OR(D15="",J15=""),"",IF(M15="PRESCRITO","NÃO",IF(J15&gt;=Config!$B$4,"SIM","AVALIAR")))</f>
        <v/>
      </c>
      <c r="O15" s="23" t="str">
        <f aca="false">IF(N15="SIM",J15*Config!$B$5,"")</f>
        <v/>
      </c>
      <c r="P15" s="19"/>
    </row>
    <row r="16" customFormat="false" ht="15" hidden="false" customHeight="false" outlineLevel="0" collapsed="false">
      <c r="A16" s="11"/>
      <c r="B16" s="11"/>
      <c r="C16" s="11"/>
      <c r="D16" s="12"/>
      <c r="E16" s="13"/>
      <c r="F16" s="13"/>
      <c r="G16" s="14"/>
      <c r="H16" s="13"/>
      <c r="I16" s="15" t="str">
        <f aca="false">IF(OR(E16="",G16=""),"",E16*G16)</f>
        <v/>
      </c>
      <c r="J16" s="15" t="str">
        <f aca="false">IF(OR(E16="",F16="",G16=""),"",MAX(0,IF(H16="",(F16-E16)*G16,H16-E16*G16)))</f>
        <v/>
      </c>
      <c r="K16" s="16" t="str">
        <f aca="false">IF(D16="","",EDATE(D16,60))</f>
        <v/>
      </c>
      <c r="L16" s="17" t="str">
        <f aca="false">IF(K16="","",K16-Config!$B$6)</f>
        <v/>
      </c>
      <c r="M16" s="18" t="str">
        <f aca="false">IF(L16="","",IF(L16&lt;0,"PRESCRITO",IF(L16&lt;180,"URGENTE","OK")))</f>
        <v/>
      </c>
      <c r="N16" s="18" t="str">
        <f aca="false">IF(OR(D16="",J16=""),"",IF(M16="PRESCRITO","NÃO",IF(J16&gt;=Config!$B$4,"SIM","AVALIAR")))</f>
        <v/>
      </c>
      <c r="O16" s="15" t="str">
        <f aca="false">IF(N16="SIM",J16*Config!$B$5,"")</f>
        <v/>
      </c>
      <c r="P16" s="11"/>
    </row>
    <row r="17" customFormat="false" ht="15" hidden="false" customHeight="false" outlineLevel="0" collapsed="false">
      <c r="A17" s="19"/>
      <c r="B17" s="19"/>
      <c r="C17" s="19"/>
      <c r="D17" s="20"/>
      <c r="E17" s="21"/>
      <c r="F17" s="21"/>
      <c r="G17" s="22"/>
      <c r="H17" s="21"/>
      <c r="I17" s="23" t="str">
        <f aca="false">IF(OR(E17="",G17=""),"",E17*G17)</f>
        <v/>
      </c>
      <c r="J17" s="23" t="str">
        <f aca="false">IF(OR(E17="",F17="",G17=""),"",MAX(0,IF(H17="",(F17-E17)*G17,H17-E17*G17)))</f>
        <v/>
      </c>
      <c r="K17" s="5" t="str">
        <f aca="false">IF(D17="","",EDATE(D17,60))</f>
        <v/>
      </c>
      <c r="L17" s="24" t="str">
        <f aca="false">IF(K17="","",K17-Config!$B$6)</f>
        <v/>
      </c>
      <c r="M17" s="25" t="str">
        <f aca="false">IF(L17="","",IF(L17&lt;0,"PRESCRITO",IF(L17&lt;180,"URGENTE","OK")))</f>
        <v/>
      </c>
      <c r="N17" s="25" t="str">
        <f aca="false">IF(OR(D17="",J17=""),"",IF(M17="PRESCRITO","NÃO",IF(J17&gt;=Config!$B$4,"SIM","AVALIAR")))</f>
        <v/>
      </c>
      <c r="O17" s="23" t="str">
        <f aca="false">IF(N17="SIM",J17*Config!$B$5,"")</f>
        <v/>
      </c>
      <c r="P17" s="19"/>
    </row>
    <row r="18" customFormat="false" ht="15" hidden="false" customHeight="false" outlineLevel="0" collapsed="false">
      <c r="A18" s="11"/>
      <c r="B18" s="11"/>
      <c r="C18" s="11"/>
      <c r="D18" s="12"/>
      <c r="E18" s="13"/>
      <c r="F18" s="13"/>
      <c r="G18" s="14"/>
      <c r="H18" s="13"/>
      <c r="I18" s="15" t="str">
        <f aca="false">IF(OR(E18="",G18=""),"",E18*G18)</f>
        <v/>
      </c>
      <c r="J18" s="15" t="str">
        <f aca="false">IF(OR(E18="",F18="",G18=""),"",MAX(0,IF(H18="",(F18-E18)*G18,H18-E18*G18)))</f>
        <v/>
      </c>
      <c r="K18" s="16" t="str">
        <f aca="false">IF(D18="","",EDATE(D18,60))</f>
        <v/>
      </c>
      <c r="L18" s="17" t="str">
        <f aca="false">IF(K18="","",K18-Config!$B$6)</f>
        <v/>
      </c>
      <c r="M18" s="18" t="str">
        <f aca="false">IF(L18="","",IF(L18&lt;0,"PRESCRITO",IF(L18&lt;180,"URGENTE","OK")))</f>
        <v/>
      </c>
      <c r="N18" s="18" t="str">
        <f aca="false">IF(OR(D18="",J18=""),"",IF(M18="PRESCRITO","NÃO",IF(J18&gt;=Config!$B$4,"SIM","AVALIAR")))</f>
        <v/>
      </c>
      <c r="O18" s="15" t="str">
        <f aca="false">IF(N18="SIM",J18*Config!$B$5,"")</f>
        <v/>
      </c>
      <c r="P18" s="11"/>
    </row>
    <row r="19" customFormat="false" ht="15" hidden="false" customHeight="false" outlineLevel="0" collapsed="false">
      <c r="A19" s="19"/>
      <c r="B19" s="19"/>
      <c r="C19" s="19"/>
      <c r="D19" s="20"/>
      <c r="E19" s="21"/>
      <c r="F19" s="21"/>
      <c r="G19" s="22"/>
      <c r="H19" s="21"/>
      <c r="I19" s="23" t="str">
        <f aca="false">IF(OR(E19="",G19=""),"",E19*G19)</f>
        <v/>
      </c>
      <c r="J19" s="23" t="str">
        <f aca="false">IF(OR(E19="",F19="",G19=""),"",MAX(0,IF(H19="",(F19-E19)*G19,H19-E19*G19)))</f>
        <v/>
      </c>
      <c r="K19" s="5" t="str">
        <f aca="false">IF(D19="","",EDATE(D19,60))</f>
        <v/>
      </c>
      <c r="L19" s="24" t="str">
        <f aca="false">IF(K19="","",K19-Config!$B$6)</f>
        <v/>
      </c>
      <c r="M19" s="25" t="str">
        <f aca="false">IF(L19="","",IF(L19&lt;0,"PRESCRITO",IF(L19&lt;180,"URGENTE","OK")))</f>
        <v/>
      </c>
      <c r="N19" s="25" t="str">
        <f aca="false">IF(OR(D19="",J19=""),"",IF(M19="PRESCRITO","NÃO",IF(J19&gt;=Config!$B$4,"SIM","AVALIAR")))</f>
        <v/>
      </c>
      <c r="O19" s="23" t="str">
        <f aca="false">IF(N19="SIM",J19*Config!$B$5,"")</f>
        <v/>
      </c>
      <c r="P19" s="19"/>
    </row>
    <row r="20" customFormat="false" ht="15" hidden="false" customHeight="false" outlineLevel="0" collapsed="false">
      <c r="A20" s="11"/>
      <c r="B20" s="11"/>
      <c r="C20" s="11"/>
      <c r="D20" s="12"/>
      <c r="E20" s="13"/>
      <c r="F20" s="13"/>
      <c r="G20" s="14"/>
      <c r="H20" s="13"/>
      <c r="I20" s="15" t="str">
        <f aca="false">IF(OR(E20="",G20=""),"",E20*G20)</f>
        <v/>
      </c>
      <c r="J20" s="15" t="str">
        <f aca="false">IF(OR(E20="",F20="",G20=""),"",MAX(0,IF(H20="",(F20-E20)*G20,H20-E20*G20)))</f>
        <v/>
      </c>
      <c r="K20" s="16" t="str">
        <f aca="false">IF(D20="","",EDATE(D20,60))</f>
        <v/>
      </c>
      <c r="L20" s="17" t="str">
        <f aca="false">IF(K20="","",K20-Config!$B$6)</f>
        <v/>
      </c>
      <c r="M20" s="18" t="str">
        <f aca="false">IF(L20="","",IF(L20&lt;0,"PRESCRITO",IF(L20&lt;180,"URGENTE","OK")))</f>
        <v/>
      </c>
      <c r="N20" s="18" t="str">
        <f aca="false">IF(OR(D20="",J20=""),"",IF(M20="PRESCRITO","NÃO",IF(J20&gt;=Config!$B$4,"SIM","AVALIAR")))</f>
        <v/>
      </c>
      <c r="O20" s="15" t="str">
        <f aca="false">IF(N20="SIM",J20*Config!$B$5,"")</f>
        <v/>
      </c>
      <c r="P20" s="11"/>
    </row>
    <row r="21" customFormat="false" ht="15" hidden="false" customHeight="false" outlineLevel="0" collapsed="false">
      <c r="A21" s="19"/>
      <c r="B21" s="19"/>
      <c r="C21" s="19"/>
      <c r="D21" s="20"/>
      <c r="E21" s="21"/>
      <c r="F21" s="21"/>
      <c r="G21" s="22"/>
      <c r="H21" s="21"/>
      <c r="I21" s="23" t="str">
        <f aca="false">IF(OR(E21="",G21=""),"",E21*G21)</f>
        <v/>
      </c>
      <c r="J21" s="23" t="str">
        <f aca="false">IF(OR(E21="",F21="",G21=""),"",MAX(0,IF(H21="",(F21-E21)*G21,H21-E21*G21)))</f>
        <v/>
      </c>
      <c r="K21" s="5" t="str">
        <f aca="false">IF(D21="","",EDATE(D21,60))</f>
        <v/>
      </c>
      <c r="L21" s="24" t="str">
        <f aca="false">IF(K21="","",K21-Config!$B$6)</f>
        <v/>
      </c>
      <c r="M21" s="25" t="str">
        <f aca="false">IF(L21="","",IF(L21&lt;0,"PRESCRITO",IF(L21&lt;180,"URGENTE","OK")))</f>
        <v/>
      </c>
      <c r="N21" s="25" t="str">
        <f aca="false">IF(OR(D21="",J21=""),"",IF(M21="PRESCRITO","NÃO",IF(J21&gt;=Config!$B$4,"SIM","AVALIAR")))</f>
        <v/>
      </c>
      <c r="O21" s="23" t="str">
        <f aca="false">IF(N21="SIM",J21*Config!$B$5,"")</f>
        <v/>
      </c>
      <c r="P21" s="19"/>
    </row>
    <row r="22" customFormat="false" ht="15" hidden="false" customHeight="false" outlineLevel="0" collapsed="false">
      <c r="A22" s="11"/>
      <c r="B22" s="11"/>
      <c r="C22" s="11"/>
      <c r="D22" s="12"/>
      <c r="E22" s="13"/>
      <c r="F22" s="13"/>
      <c r="G22" s="14"/>
      <c r="H22" s="13"/>
      <c r="I22" s="15" t="str">
        <f aca="false">IF(OR(E22="",G22=""),"",E22*G22)</f>
        <v/>
      </c>
      <c r="J22" s="15" t="str">
        <f aca="false">IF(OR(E22="",F22="",G22=""),"",MAX(0,IF(H22="",(F22-E22)*G22,H22-E22*G22)))</f>
        <v/>
      </c>
      <c r="K22" s="16" t="str">
        <f aca="false">IF(D22="","",EDATE(D22,60))</f>
        <v/>
      </c>
      <c r="L22" s="17" t="str">
        <f aca="false">IF(K22="","",K22-Config!$B$6)</f>
        <v/>
      </c>
      <c r="M22" s="18" t="str">
        <f aca="false">IF(L22="","",IF(L22&lt;0,"PRESCRITO",IF(L22&lt;180,"URGENTE","OK")))</f>
        <v/>
      </c>
      <c r="N22" s="18" t="str">
        <f aca="false">IF(OR(D22="",J22=""),"",IF(M22="PRESCRITO","NÃO",IF(J22&gt;=Config!$B$4,"SIM","AVALIAR")))</f>
        <v/>
      </c>
      <c r="O22" s="15" t="str">
        <f aca="false">IF(N22="SIM",J22*Config!$B$5,"")</f>
        <v/>
      </c>
      <c r="P22" s="11"/>
    </row>
    <row r="23" customFormat="false" ht="15" hidden="false" customHeight="false" outlineLevel="0" collapsed="false">
      <c r="A23" s="19"/>
      <c r="B23" s="19"/>
      <c r="C23" s="19"/>
      <c r="D23" s="20"/>
      <c r="E23" s="21"/>
      <c r="F23" s="21"/>
      <c r="G23" s="22"/>
      <c r="H23" s="21"/>
      <c r="I23" s="23" t="str">
        <f aca="false">IF(OR(E23="",G23=""),"",E23*G23)</f>
        <v/>
      </c>
      <c r="J23" s="23" t="str">
        <f aca="false">IF(OR(E23="",F23="",G23=""),"",MAX(0,IF(H23="",(F23-E23)*G23,H23-E23*G23)))</f>
        <v/>
      </c>
      <c r="K23" s="5" t="str">
        <f aca="false">IF(D23="","",EDATE(D23,60))</f>
        <v/>
      </c>
      <c r="L23" s="24" t="str">
        <f aca="false">IF(K23="","",K23-Config!$B$6)</f>
        <v/>
      </c>
      <c r="M23" s="25" t="str">
        <f aca="false">IF(L23="","",IF(L23&lt;0,"PRESCRITO",IF(L23&lt;180,"URGENTE","OK")))</f>
        <v/>
      </c>
      <c r="N23" s="25" t="str">
        <f aca="false">IF(OR(D23="",J23=""),"",IF(M23="PRESCRITO","NÃO",IF(J23&gt;=Config!$B$4,"SIM","AVALIAR")))</f>
        <v/>
      </c>
      <c r="O23" s="23" t="str">
        <f aca="false">IF(N23="SIM",J23*Config!$B$5,"")</f>
        <v/>
      </c>
      <c r="P23" s="19"/>
    </row>
    <row r="24" customFormat="false" ht="15" hidden="false" customHeight="false" outlineLevel="0" collapsed="false">
      <c r="A24" s="11"/>
      <c r="B24" s="11"/>
      <c r="C24" s="11"/>
      <c r="D24" s="12"/>
      <c r="E24" s="13"/>
      <c r="F24" s="13"/>
      <c r="G24" s="14"/>
      <c r="H24" s="13"/>
      <c r="I24" s="15" t="str">
        <f aca="false">IF(OR(E24="",G24=""),"",E24*G24)</f>
        <v/>
      </c>
      <c r="J24" s="15" t="str">
        <f aca="false">IF(OR(E24="",F24="",G24=""),"",MAX(0,IF(H24="",(F24-E24)*G24,H24-E24*G24)))</f>
        <v/>
      </c>
      <c r="K24" s="16" t="str">
        <f aca="false">IF(D24="","",EDATE(D24,60))</f>
        <v/>
      </c>
      <c r="L24" s="17" t="str">
        <f aca="false">IF(K24="","",K24-Config!$B$6)</f>
        <v/>
      </c>
      <c r="M24" s="18" t="str">
        <f aca="false">IF(L24="","",IF(L24&lt;0,"PRESCRITO",IF(L24&lt;180,"URGENTE","OK")))</f>
        <v/>
      </c>
      <c r="N24" s="18" t="str">
        <f aca="false">IF(OR(D24="",J24=""),"",IF(M24="PRESCRITO","NÃO",IF(J24&gt;=Config!$B$4,"SIM","AVALIAR")))</f>
        <v/>
      </c>
      <c r="O24" s="15" t="str">
        <f aca="false">IF(N24="SIM",J24*Config!$B$5,"")</f>
        <v/>
      </c>
      <c r="P24" s="11"/>
    </row>
    <row r="25" customFormat="false" ht="15" hidden="false" customHeight="false" outlineLevel="0" collapsed="false">
      <c r="A25" s="19"/>
      <c r="B25" s="19"/>
      <c r="C25" s="19"/>
      <c r="D25" s="20"/>
      <c r="E25" s="21"/>
      <c r="F25" s="21"/>
      <c r="G25" s="22"/>
      <c r="H25" s="21"/>
      <c r="I25" s="23" t="str">
        <f aca="false">IF(OR(E25="",G25=""),"",E25*G25)</f>
        <v/>
      </c>
      <c r="J25" s="23" t="str">
        <f aca="false">IF(OR(E25="",F25="",G25=""),"",MAX(0,IF(H25="",(F25-E25)*G25,H25-E25*G25)))</f>
        <v/>
      </c>
      <c r="K25" s="5" t="str">
        <f aca="false">IF(D25="","",EDATE(D25,60))</f>
        <v/>
      </c>
      <c r="L25" s="24" t="str">
        <f aca="false">IF(K25="","",K25-Config!$B$6)</f>
        <v/>
      </c>
      <c r="M25" s="25" t="str">
        <f aca="false">IF(L25="","",IF(L25&lt;0,"PRESCRITO",IF(L25&lt;180,"URGENTE","OK")))</f>
        <v/>
      </c>
      <c r="N25" s="25" t="str">
        <f aca="false">IF(OR(D25="",J25=""),"",IF(M25="PRESCRITO","NÃO",IF(J25&gt;=Config!$B$4,"SIM","AVALIAR")))</f>
        <v/>
      </c>
      <c r="O25" s="23" t="str">
        <f aca="false">IF(N25="SIM",J25*Config!$B$5,"")</f>
        <v/>
      </c>
      <c r="P25" s="19"/>
    </row>
    <row r="26" customFormat="false" ht="15" hidden="false" customHeight="false" outlineLevel="0" collapsed="false">
      <c r="A26" s="11"/>
      <c r="B26" s="11"/>
      <c r="C26" s="11"/>
      <c r="D26" s="12"/>
      <c r="E26" s="13"/>
      <c r="F26" s="13"/>
      <c r="G26" s="14"/>
      <c r="H26" s="13"/>
      <c r="I26" s="15" t="str">
        <f aca="false">IF(OR(E26="",G26=""),"",E26*G26)</f>
        <v/>
      </c>
      <c r="J26" s="15" t="str">
        <f aca="false">IF(OR(E26="",F26="",G26=""),"",MAX(0,IF(H26="",(F26-E26)*G26,H26-E26*G26)))</f>
        <v/>
      </c>
      <c r="K26" s="16" t="str">
        <f aca="false">IF(D26="","",EDATE(D26,60))</f>
        <v/>
      </c>
      <c r="L26" s="17" t="str">
        <f aca="false">IF(K26="","",K26-Config!$B$6)</f>
        <v/>
      </c>
      <c r="M26" s="18" t="str">
        <f aca="false">IF(L26="","",IF(L26&lt;0,"PRESCRITO",IF(L26&lt;180,"URGENTE","OK")))</f>
        <v/>
      </c>
      <c r="N26" s="18" t="str">
        <f aca="false">IF(OR(D26="",J26=""),"",IF(M26="PRESCRITO","NÃO",IF(J26&gt;=Config!$B$4,"SIM","AVALIAR")))</f>
        <v/>
      </c>
      <c r="O26" s="15" t="str">
        <f aca="false">IF(N26="SIM",J26*Config!$B$5,"")</f>
        <v/>
      </c>
      <c r="P26" s="11"/>
    </row>
    <row r="27" customFormat="false" ht="15" hidden="false" customHeight="false" outlineLevel="0" collapsed="false">
      <c r="A27" s="19"/>
      <c r="B27" s="19"/>
      <c r="C27" s="19"/>
      <c r="D27" s="20"/>
      <c r="E27" s="21"/>
      <c r="F27" s="21"/>
      <c r="G27" s="22"/>
      <c r="H27" s="21"/>
      <c r="I27" s="23" t="str">
        <f aca="false">IF(OR(E27="",G27=""),"",E27*G27)</f>
        <v/>
      </c>
      <c r="J27" s="23" t="str">
        <f aca="false">IF(OR(E27="",F27="",G27=""),"",MAX(0,IF(H27="",(F27-E27)*G27,H27-E27*G27)))</f>
        <v/>
      </c>
      <c r="K27" s="5" t="str">
        <f aca="false">IF(D27="","",EDATE(D27,60))</f>
        <v/>
      </c>
      <c r="L27" s="24" t="str">
        <f aca="false">IF(K27="","",K27-Config!$B$6)</f>
        <v/>
      </c>
      <c r="M27" s="25" t="str">
        <f aca="false">IF(L27="","",IF(L27&lt;0,"PRESCRITO",IF(L27&lt;180,"URGENTE","OK")))</f>
        <v/>
      </c>
      <c r="N27" s="25" t="str">
        <f aca="false">IF(OR(D27="",J27=""),"",IF(M27="PRESCRITO","NÃO",IF(J27&gt;=Config!$B$4,"SIM","AVALIAR")))</f>
        <v/>
      </c>
      <c r="O27" s="23" t="str">
        <f aca="false">IF(N27="SIM",J27*Config!$B$5,"")</f>
        <v/>
      </c>
      <c r="P27" s="19"/>
    </row>
    <row r="28" customFormat="false" ht="15" hidden="false" customHeight="false" outlineLevel="0" collapsed="false">
      <c r="A28" s="11"/>
      <c r="B28" s="11"/>
      <c r="C28" s="11"/>
      <c r="D28" s="12"/>
      <c r="E28" s="13"/>
      <c r="F28" s="13"/>
      <c r="G28" s="14"/>
      <c r="H28" s="13"/>
      <c r="I28" s="15" t="str">
        <f aca="false">IF(OR(E28="",G28=""),"",E28*G28)</f>
        <v/>
      </c>
      <c r="J28" s="15" t="str">
        <f aca="false">IF(OR(E28="",F28="",G28=""),"",MAX(0,IF(H28="",(F28-E28)*G28,H28-E28*G28)))</f>
        <v/>
      </c>
      <c r="K28" s="16" t="str">
        <f aca="false">IF(D28="","",EDATE(D28,60))</f>
        <v/>
      </c>
      <c r="L28" s="17" t="str">
        <f aca="false">IF(K28="","",K28-Config!$B$6)</f>
        <v/>
      </c>
      <c r="M28" s="18" t="str">
        <f aca="false">IF(L28="","",IF(L28&lt;0,"PRESCRITO",IF(L28&lt;180,"URGENTE","OK")))</f>
        <v/>
      </c>
      <c r="N28" s="18" t="str">
        <f aca="false">IF(OR(D28="",J28=""),"",IF(M28="PRESCRITO","NÃO",IF(J28&gt;=Config!$B$4,"SIM","AVALIAR")))</f>
        <v/>
      </c>
      <c r="O28" s="15" t="str">
        <f aca="false">IF(N28="SIM",J28*Config!$B$5,"")</f>
        <v/>
      </c>
      <c r="P28" s="11"/>
    </row>
    <row r="29" customFormat="false" ht="15" hidden="false" customHeight="false" outlineLevel="0" collapsed="false">
      <c r="A29" s="19"/>
      <c r="B29" s="19"/>
      <c r="C29" s="19"/>
      <c r="D29" s="20"/>
      <c r="E29" s="21"/>
      <c r="F29" s="21"/>
      <c r="G29" s="22"/>
      <c r="H29" s="21"/>
      <c r="I29" s="23" t="str">
        <f aca="false">IF(OR(E29="",G29=""),"",E29*G29)</f>
        <v/>
      </c>
      <c r="J29" s="23" t="str">
        <f aca="false">IF(OR(E29="",F29="",G29=""),"",MAX(0,IF(H29="",(F29-E29)*G29,H29-E29*G29)))</f>
        <v/>
      </c>
      <c r="K29" s="5" t="str">
        <f aca="false">IF(D29="","",EDATE(D29,60))</f>
        <v/>
      </c>
      <c r="L29" s="24" t="str">
        <f aca="false">IF(K29="","",K29-Config!$B$6)</f>
        <v/>
      </c>
      <c r="M29" s="25" t="str">
        <f aca="false">IF(L29="","",IF(L29&lt;0,"PRESCRITO",IF(L29&lt;180,"URGENTE","OK")))</f>
        <v/>
      </c>
      <c r="N29" s="25" t="str">
        <f aca="false">IF(OR(D29="",J29=""),"",IF(M29="PRESCRITO","NÃO",IF(J29&gt;=Config!$B$4,"SIM","AVALIAR")))</f>
        <v/>
      </c>
      <c r="O29" s="23" t="str">
        <f aca="false">IF(N29="SIM",J29*Config!$B$5,"")</f>
        <v/>
      </c>
      <c r="P29" s="19"/>
    </row>
    <row r="30" customFormat="false" ht="15" hidden="false" customHeight="false" outlineLevel="0" collapsed="false">
      <c r="A30" s="11"/>
      <c r="B30" s="11"/>
      <c r="C30" s="11"/>
      <c r="D30" s="12"/>
      <c r="E30" s="13"/>
      <c r="F30" s="13"/>
      <c r="G30" s="14"/>
      <c r="H30" s="13"/>
      <c r="I30" s="15" t="str">
        <f aca="false">IF(OR(E30="",G30=""),"",E30*G30)</f>
        <v/>
      </c>
      <c r="J30" s="15" t="str">
        <f aca="false">IF(OR(E30="",F30="",G30=""),"",MAX(0,IF(H30="",(F30-E30)*G30,H30-E30*G30)))</f>
        <v/>
      </c>
      <c r="K30" s="16" t="str">
        <f aca="false">IF(D30="","",EDATE(D30,60))</f>
        <v/>
      </c>
      <c r="L30" s="17" t="str">
        <f aca="false">IF(K30="","",K30-Config!$B$6)</f>
        <v/>
      </c>
      <c r="M30" s="18" t="str">
        <f aca="false">IF(L30="","",IF(L30&lt;0,"PRESCRITO",IF(L30&lt;180,"URGENTE","OK")))</f>
        <v/>
      </c>
      <c r="N30" s="18" t="str">
        <f aca="false">IF(OR(D30="",J30=""),"",IF(M30="PRESCRITO","NÃO",IF(J30&gt;=Config!$B$4,"SIM","AVALIAR")))</f>
        <v/>
      </c>
      <c r="O30" s="15" t="str">
        <f aca="false">IF(N30="SIM",J30*Config!$B$5,"")</f>
        <v/>
      </c>
      <c r="P30" s="11"/>
    </row>
    <row r="31" customFormat="false" ht="15" hidden="false" customHeight="false" outlineLevel="0" collapsed="false">
      <c r="A31" s="19"/>
      <c r="B31" s="19"/>
      <c r="C31" s="19"/>
      <c r="D31" s="20"/>
      <c r="E31" s="21"/>
      <c r="F31" s="21"/>
      <c r="G31" s="22"/>
      <c r="H31" s="21"/>
      <c r="I31" s="23" t="str">
        <f aca="false">IF(OR(E31="",G31=""),"",E31*G31)</f>
        <v/>
      </c>
      <c r="J31" s="23" t="str">
        <f aca="false">IF(OR(E31="",F31="",G31=""),"",MAX(0,IF(H31="",(F31-E31)*G31,H31-E31*G31)))</f>
        <v/>
      </c>
      <c r="K31" s="5" t="str">
        <f aca="false">IF(D31="","",EDATE(D31,60))</f>
        <v/>
      </c>
      <c r="L31" s="24" t="str">
        <f aca="false">IF(K31="","",K31-Config!$B$6)</f>
        <v/>
      </c>
      <c r="M31" s="25" t="str">
        <f aca="false">IF(L31="","",IF(L31&lt;0,"PRESCRITO",IF(L31&lt;180,"URGENTE","OK")))</f>
        <v/>
      </c>
      <c r="N31" s="25" t="str">
        <f aca="false">IF(OR(D31="",J31=""),"",IF(M31="PRESCRITO","NÃO",IF(J31&gt;=Config!$B$4,"SIM","AVALIAR")))</f>
        <v/>
      </c>
      <c r="O31" s="23" t="str">
        <f aca="false">IF(N31="SIM",J31*Config!$B$5,"")</f>
        <v/>
      </c>
      <c r="P31" s="19"/>
    </row>
    <row r="32" customFormat="false" ht="15" hidden="false" customHeight="false" outlineLevel="0" collapsed="false">
      <c r="A32" s="11"/>
      <c r="B32" s="11"/>
      <c r="C32" s="11"/>
      <c r="D32" s="12"/>
      <c r="E32" s="13"/>
      <c r="F32" s="13"/>
      <c r="G32" s="14"/>
      <c r="H32" s="13"/>
      <c r="I32" s="15" t="str">
        <f aca="false">IF(OR(E32="",G32=""),"",E32*G32)</f>
        <v/>
      </c>
      <c r="J32" s="15" t="str">
        <f aca="false">IF(OR(E32="",F32="",G32=""),"",MAX(0,IF(H32="",(F32-E32)*G32,H32-E32*G32)))</f>
        <v/>
      </c>
      <c r="K32" s="16" t="str">
        <f aca="false">IF(D32="","",EDATE(D32,60))</f>
        <v/>
      </c>
      <c r="L32" s="17" t="str">
        <f aca="false">IF(K32="","",K32-Config!$B$6)</f>
        <v/>
      </c>
      <c r="M32" s="18" t="str">
        <f aca="false">IF(L32="","",IF(L32&lt;0,"PRESCRITO",IF(L32&lt;180,"URGENTE","OK")))</f>
        <v/>
      </c>
      <c r="N32" s="18" t="str">
        <f aca="false">IF(OR(D32="",J32=""),"",IF(M32="PRESCRITO","NÃO",IF(J32&gt;=Config!$B$4,"SIM","AVALIAR")))</f>
        <v/>
      </c>
      <c r="O32" s="15" t="str">
        <f aca="false">IF(N32="SIM",J32*Config!$B$5,"")</f>
        <v/>
      </c>
      <c r="P32" s="11"/>
    </row>
    <row r="33" customFormat="false" ht="15" hidden="false" customHeight="false" outlineLevel="0" collapsed="false">
      <c r="A33" s="19"/>
      <c r="B33" s="19"/>
      <c r="C33" s="19"/>
      <c r="D33" s="20"/>
      <c r="E33" s="21"/>
      <c r="F33" s="21"/>
      <c r="G33" s="22"/>
      <c r="H33" s="21"/>
      <c r="I33" s="23" t="str">
        <f aca="false">IF(OR(E33="",G33=""),"",E33*G33)</f>
        <v/>
      </c>
      <c r="J33" s="23" t="str">
        <f aca="false">IF(OR(E33="",F33="",G33=""),"",MAX(0,IF(H33="",(F33-E33)*G33,H33-E33*G33)))</f>
        <v/>
      </c>
      <c r="K33" s="5" t="str">
        <f aca="false">IF(D33="","",EDATE(D33,60))</f>
        <v/>
      </c>
      <c r="L33" s="24" t="str">
        <f aca="false">IF(K33="","",K33-Config!$B$6)</f>
        <v/>
      </c>
      <c r="M33" s="25" t="str">
        <f aca="false">IF(L33="","",IF(L33&lt;0,"PRESCRITO",IF(L33&lt;180,"URGENTE","OK")))</f>
        <v/>
      </c>
      <c r="N33" s="25" t="str">
        <f aca="false">IF(OR(D33="",J33=""),"",IF(M33="PRESCRITO","NÃO",IF(J33&gt;=Config!$B$4,"SIM","AVALIAR")))</f>
        <v/>
      </c>
      <c r="O33" s="23" t="str">
        <f aca="false">IF(N33="SIM",J33*Config!$B$5,"")</f>
        <v/>
      </c>
      <c r="P33" s="19"/>
    </row>
    <row r="34" customFormat="false" ht="15" hidden="false" customHeight="false" outlineLevel="0" collapsed="false">
      <c r="A34" s="11"/>
      <c r="B34" s="11"/>
      <c r="C34" s="11"/>
      <c r="D34" s="12"/>
      <c r="E34" s="13"/>
      <c r="F34" s="13"/>
      <c r="G34" s="14"/>
      <c r="H34" s="13"/>
      <c r="I34" s="15" t="str">
        <f aca="false">IF(OR(E34="",G34=""),"",E34*G34)</f>
        <v/>
      </c>
      <c r="J34" s="15" t="str">
        <f aca="false">IF(OR(E34="",F34="",G34=""),"",MAX(0,IF(H34="",(F34-E34)*G34,H34-E34*G34)))</f>
        <v/>
      </c>
      <c r="K34" s="16" t="str">
        <f aca="false">IF(D34="","",EDATE(D34,60))</f>
        <v/>
      </c>
      <c r="L34" s="17" t="str">
        <f aca="false">IF(K34="","",K34-Config!$B$6)</f>
        <v/>
      </c>
      <c r="M34" s="18" t="str">
        <f aca="false">IF(L34="","",IF(L34&lt;0,"PRESCRITO",IF(L34&lt;180,"URGENTE","OK")))</f>
        <v/>
      </c>
      <c r="N34" s="18" t="str">
        <f aca="false">IF(OR(D34="",J34=""),"",IF(M34="PRESCRITO","NÃO",IF(J34&gt;=Config!$B$4,"SIM","AVALIAR")))</f>
        <v/>
      </c>
      <c r="O34" s="15" t="str">
        <f aca="false">IF(N34="SIM",J34*Config!$B$5,"")</f>
        <v/>
      </c>
      <c r="P34" s="11"/>
    </row>
    <row r="35" customFormat="false" ht="15" hidden="false" customHeight="false" outlineLevel="0" collapsed="false">
      <c r="A35" s="19"/>
      <c r="B35" s="19"/>
      <c r="C35" s="19"/>
      <c r="D35" s="20"/>
      <c r="E35" s="21"/>
      <c r="F35" s="21"/>
      <c r="G35" s="22"/>
      <c r="H35" s="21"/>
      <c r="I35" s="23" t="str">
        <f aca="false">IF(OR(E35="",G35=""),"",E35*G35)</f>
        <v/>
      </c>
      <c r="J35" s="23" t="str">
        <f aca="false">IF(OR(E35="",F35="",G35=""),"",MAX(0,IF(H35="",(F35-E35)*G35,H35-E35*G35)))</f>
        <v/>
      </c>
      <c r="K35" s="5" t="str">
        <f aca="false">IF(D35="","",EDATE(D35,60))</f>
        <v/>
      </c>
      <c r="L35" s="24" t="str">
        <f aca="false">IF(K35="","",K35-Config!$B$6)</f>
        <v/>
      </c>
      <c r="M35" s="25" t="str">
        <f aca="false">IF(L35="","",IF(L35&lt;0,"PRESCRITO",IF(L35&lt;180,"URGENTE","OK")))</f>
        <v/>
      </c>
      <c r="N35" s="25" t="str">
        <f aca="false">IF(OR(D35="",J35=""),"",IF(M35="PRESCRITO","NÃO",IF(J35&gt;=Config!$B$4,"SIM","AVALIAR")))</f>
        <v/>
      </c>
      <c r="O35" s="23" t="str">
        <f aca="false">IF(N35="SIM",J35*Config!$B$5,"")</f>
        <v/>
      </c>
      <c r="P35" s="19"/>
    </row>
    <row r="36" customFormat="false" ht="15" hidden="false" customHeight="false" outlineLevel="0" collapsed="false">
      <c r="A36" s="11"/>
      <c r="B36" s="11"/>
      <c r="C36" s="11"/>
      <c r="D36" s="12"/>
      <c r="E36" s="13"/>
      <c r="F36" s="13"/>
      <c r="G36" s="14"/>
      <c r="H36" s="13"/>
      <c r="I36" s="15" t="str">
        <f aca="false">IF(OR(E36="",G36=""),"",E36*G36)</f>
        <v/>
      </c>
      <c r="J36" s="15" t="str">
        <f aca="false">IF(OR(E36="",F36="",G36=""),"",MAX(0,IF(H36="",(F36-E36)*G36,H36-E36*G36)))</f>
        <v/>
      </c>
      <c r="K36" s="16" t="str">
        <f aca="false">IF(D36="","",EDATE(D36,60))</f>
        <v/>
      </c>
      <c r="L36" s="17" t="str">
        <f aca="false">IF(K36="","",K36-Config!$B$6)</f>
        <v/>
      </c>
      <c r="M36" s="18" t="str">
        <f aca="false">IF(L36="","",IF(L36&lt;0,"PRESCRITO",IF(L36&lt;180,"URGENTE","OK")))</f>
        <v/>
      </c>
      <c r="N36" s="18" t="str">
        <f aca="false">IF(OR(D36="",J36=""),"",IF(M36="PRESCRITO","NÃO",IF(J36&gt;=Config!$B$4,"SIM","AVALIAR")))</f>
        <v/>
      </c>
      <c r="O36" s="15" t="str">
        <f aca="false">IF(N36="SIM",J36*Config!$B$5,"")</f>
        <v/>
      </c>
      <c r="P36" s="11"/>
    </row>
    <row r="37" customFormat="false" ht="15" hidden="false" customHeight="false" outlineLevel="0" collapsed="false">
      <c r="A37" s="19"/>
      <c r="B37" s="19"/>
      <c r="C37" s="19"/>
      <c r="D37" s="20"/>
      <c r="E37" s="21"/>
      <c r="F37" s="21"/>
      <c r="G37" s="22"/>
      <c r="H37" s="21"/>
      <c r="I37" s="23" t="str">
        <f aca="false">IF(OR(E37="",G37=""),"",E37*G37)</f>
        <v/>
      </c>
      <c r="J37" s="23" t="str">
        <f aca="false">IF(OR(E37="",F37="",G37=""),"",MAX(0,IF(H37="",(F37-E37)*G37,H37-E37*G37)))</f>
        <v/>
      </c>
      <c r="K37" s="5" t="str">
        <f aca="false">IF(D37="","",EDATE(D37,60))</f>
        <v/>
      </c>
      <c r="L37" s="24" t="str">
        <f aca="false">IF(K37="","",K37-Config!$B$6)</f>
        <v/>
      </c>
      <c r="M37" s="25" t="str">
        <f aca="false">IF(L37="","",IF(L37&lt;0,"PRESCRITO",IF(L37&lt;180,"URGENTE","OK")))</f>
        <v/>
      </c>
      <c r="N37" s="25" t="str">
        <f aca="false">IF(OR(D37="",J37=""),"",IF(M37="PRESCRITO","NÃO",IF(J37&gt;=Config!$B$4,"SIM","AVALIAR")))</f>
        <v/>
      </c>
      <c r="O37" s="23" t="str">
        <f aca="false">IF(N37="SIM",J37*Config!$B$5,"")</f>
        <v/>
      </c>
      <c r="P37" s="19"/>
    </row>
    <row r="38" customFormat="false" ht="15" hidden="false" customHeight="false" outlineLevel="0" collapsed="false">
      <c r="A38" s="11"/>
      <c r="B38" s="11"/>
      <c r="C38" s="11"/>
      <c r="D38" s="12"/>
      <c r="E38" s="13"/>
      <c r="F38" s="13"/>
      <c r="G38" s="14"/>
      <c r="H38" s="13"/>
      <c r="I38" s="15" t="str">
        <f aca="false">IF(OR(E38="",G38=""),"",E38*G38)</f>
        <v/>
      </c>
      <c r="J38" s="15" t="str">
        <f aca="false">IF(OR(E38="",F38="",G38=""),"",MAX(0,IF(H38="",(F38-E38)*G38,H38-E38*G38)))</f>
        <v/>
      </c>
      <c r="K38" s="16" t="str">
        <f aca="false">IF(D38="","",EDATE(D38,60))</f>
        <v/>
      </c>
      <c r="L38" s="17" t="str">
        <f aca="false">IF(K38="","",K38-Config!$B$6)</f>
        <v/>
      </c>
      <c r="M38" s="18" t="str">
        <f aca="false">IF(L38="","",IF(L38&lt;0,"PRESCRITO",IF(L38&lt;180,"URGENTE","OK")))</f>
        <v/>
      </c>
      <c r="N38" s="18" t="str">
        <f aca="false">IF(OR(D38="",J38=""),"",IF(M38="PRESCRITO","NÃO",IF(J38&gt;=Config!$B$4,"SIM","AVALIAR")))</f>
        <v/>
      </c>
      <c r="O38" s="15" t="str">
        <f aca="false">IF(N38="SIM",J38*Config!$B$5,"")</f>
        <v/>
      </c>
      <c r="P38" s="11"/>
    </row>
    <row r="39" customFormat="false" ht="15" hidden="false" customHeight="false" outlineLevel="0" collapsed="false">
      <c r="A39" s="19"/>
      <c r="B39" s="19"/>
      <c r="C39" s="19"/>
      <c r="D39" s="20"/>
      <c r="E39" s="21"/>
      <c r="F39" s="21"/>
      <c r="G39" s="22"/>
      <c r="H39" s="21"/>
      <c r="I39" s="23" t="str">
        <f aca="false">IF(OR(E39="",G39=""),"",E39*G39)</f>
        <v/>
      </c>
      <c r="J39" s="23" t="str">
        <f aca="false">IF(OR(E39="",F39="",G39=""),"",MAX(0,IF(H39="",(F39-E39)*G39,H39-E39*G39)))</f>
        <v/>
      </c>
      <c r="K39" s="5" t="str">
        <f aca="false">IF(D39="","",EDATE(D39,60))</f>
        <v/>
      </c>
      <c r="L39" s="24" t="str">
        <f aca="false">IF(K39="","",K39-Config!$B$6)</f>
        <v/>
      </c>
      <c r="M39" s="25" t="str">
        <f aca="false">IF(L39="","",IF(L39&lt;0,"PRESCRITO",IF(L39&lt;180,"URGENTE","OK")))</f>
        <v/>
      </c>
      <c r="N39" s="25" t="str">
        <f aca="false">IF(OR(D39="",J39=""),"",IF(M39="PRESCRITO","NÃO",IF(J39&gt;=Config!$B$4,"SIM","AVALIAR")))</f>
        <v/>
      </c>
      <c r="O39" s="23" t="str">
        <f aca="false">IF(N39="SIM",J39*Config!$B$5,"")</f>
        <v/>
      </c>
      <c r="P39" s="19"/>
    </row>
    <row r="40" customFormat="false" ht="15" hidden="false" customHeight="false" outlineLevel="0" collapsed="false">
      <c r="A40" s="11"/>
      <c r="B40" s="11"/>
      <c r="C40" s="11"/>
      <c r="D40" s="12"/>
      <c r="E40" s="13"/>
      <c r="F40" s="13"/>
      <c r="G40" s="14"/>
      <c r="H40" s="13"/>
      <c r="I40" s="15" t="str">
        <f aca="false">IF(OR(E40="",G40=""),"",E40*G40)</f>
        <v/>
      </c>
      <c r="J40" s="15" t="str">
        <f aca="false">IF(OR(E40="",F40="",G40=""),"",MAX(0,IF(H40="",(F40-E40)*G40,H40-E40*G40)))</f>
        <v/>
      </c>
      <c r="K40" s="16" t="str">
        <f aca="false">IF(D40="","",EDATE(D40,60))</f>
        <v/>
      </c>
      <c r="L40" s="17" t="str">
        <f aca="false">IF(K40="","",K40-Config!$B$6)</f>
        <v/>
      </c>
      <c r="M40" s="18" t="str">
        <f aca="false">IF(L40="","",IF(L40&lt;0,"PRESCRITO",IF(L40&lt;180,"URGENTE","OK")))</f>
        <v/>
      </c>
      <c r="N40" s="18" t="str">
        <f aca="false">IF(OR(D40="",J40=""),"",IF(M40="PRESCRITO","NÃO",IF(J40&gt;=Config!$B$4,"SIM","AVALIAR")))</f>
        <v/>
      </c>
      <c r="O40" s="15" t="str">
        <f aca="false">IF(N40="SIM",J40*Config!$B$5,"")</f>
        <v/>
      </c>
      <c r="P40" s="11"/>
    </row>
    <row r="41" customFormat="false" ht="15" hidden="false" customHeight="false" outlineLevel="0" collapsed="false">
      <c r="A41" s="19"/>
      <c r="B41" s="19"/>
      <c r="C41" s="19"/>
      <c r="D41" s="20"/>
      <c r="E41" s="21"/>
      <c r="F41" s="21"/>
      <c r="G41" s="22"/>
      <c r="H41" s="21"/>
      <c r="I41" s="23" t="str">
        <f aca="false">IF(OR(E41="",G41=""),"",E41*G41)</f>
        <v/>
      </c>
      <c r="J41" s="23" t="str">
        <f aca="false">IF(OR(E41="",F41="",G41=""),"",MAX(0,IF(H41="",(F41-E41)*G41,H41-E41*G41)))</f>
        <v/>
      </c>
      <c r="K41" s="5" t="str">
        <f aca="false">IF(D41="","",EDATE(D41,60))</f>
        <v/>
      </c>
      <c r="L41" s="24" t="str">
        <f aca="false">IF(K41="","",K41-Config!$B$6)</f>
        <v/>
      </c>
      <c r="M41" s="25" t="str">
        <f aca="false">IF(L41="","",IF(L41&lt;0,"PRESCRITO",IF(L41&lt;180,"URGENTE","OK")))</f>
        <v/>
      </c>
      <c r="N41" s="25" t="str">
        <f aca="false">IF(OR(D41="",J41=""),"",IF(M41="PRESCRITO","NÃO",IF(J41&gt;=Config!$B$4,"SIM","AVALIAR")))</f>
        <v/>
      </c>
      <c r="O41" s="23" t="str">
        <f aca="false">IF(N41="SIM",J41*Config!$B$5,"")</f>
        <v/>
      </c>
      <c r="P41" s="19"/>
    </row>
    <row r="42" customFormat="false" ht="15" hidden="false" customHeight="false" outlineLevel="0" collapsed="false">
      <c r="A42" s="11"/>
      <c r="B42" s="11"/>
      <c r="C42" s="11"/>
      <c r="D42" s="12"/>
      <c r="E42" s="13"/>
      <c r="F42" s="13"/>
      <c r="G42" s="14"/>
      <c r="H42" s="13"/>
      <c r="I42" s="15" t="str">
        <f aca="false">IF(OR(E42="",G42=""),"",E42*G42)</f>
        <v/>
      </c>
      <c r="J42" s="15" t="str">
        <f aca="false">IF(OR(E42="",F42="",G42=""),"",MAX(0,IF(H42="",(F42-E42)*G42,H42-E42*G42)))</f>
        <v/>
      </c>
      <c r="K42" s="16" t="str">
        <f aca="false">IF(D42="","",EDATE(D42,60))</f>
        <v/>
      </c>
      <c r="L42" s="17" t="str">
        <f aca="false">IF(K42="","",K42-Config!$B$6)</f>
        <v/>
      </c>
      <c r="M42" s="18" t="str">
        <f aca="false">IF(L42="","",IF(L42&lt;0,"PRESCRITO",IF(L42&lt;180,"URGENTE","OK")))</f>
        <v/>
      </c>
      <c r="N42" s="18" t="str">
        <f aca="false">IF(OR(D42="",J42=""),"",IF(M42="PRESCRITO","NÃO",IF(J42&gt;=Config!$B$4,"SIM","AVALIAR")))</f>
        <v/>
      </c>
      <c r="O42" s="15" t="str">
        <f aca="false">IF(N42="SIM",J42*Config!$B$5,"")</f>
        <v/>
      </c>
      <c r="P42" s="11"/>
    </row>
    <row r="43" customFormat="false" ht="15" hidden="false" customHeight="false" outlineLevel="0" collapsed="false">
      <c r="A43" s="19"/>
      <c r="B43" s="19"/>
      <c r="C43" s="19"/>
      <c r="D43" s="20"/>
      <c r="E43" s="21"/>
      <c r="F43" s="21"/>
      <c r="G43" s="22"/>
      <c r="H43" s="21"/>
      <c r="I43" s="23" t="str">
        <f aca="false">IF(OR(E43="",G43=""),"",E43*G43)</f>
        <v/>
      </c>
      <c r="J43" s="23" t="str">
        <f aca="false">IF(OR(E43="",F43="",G43=""),"",MAX(0,IF(H43="",(F43-E43)*G43,H43-E43*G43)))</f>
        <v/>
      </c>
      <c r="K43" s="5" t="str">
        <f aca="false">IF(D43="","",EDATE(D43,60))</f>
        <v/>
      </c>
      <c r="L43" s="24" t="str">
        <f aca="false">IF(K43="","",K43-Config!$B$6)</f>
        <v/>
      </c>
      <c r="M43" s="25" t="str">
        <f aca="false">IF(L43="","",IF(L43&lt;0,"PRESCRITO",IF(L43&lt;180,"URGENTE","OK")))</f>
        <v/>
      </c>
      <c r="N43" s="25" t="str">
        <f aca="false">IF(OR(D43="",J43=""),"",IF(M43="PRESCRITO","NÃO",IF(J43&gt;=Config!$B$4,"SIM","AVALIAR")))</f>
        <v/>
      </c>
      <c r="O43" s="23" t="str">
        <f aca="false">IF(N43="SIM",J43*Config!$B$5,"")</f>
        <v/>
      </c>
      <c r="P43" s="19"/>
    </row>
    <row r="44" customFormat="false" ht="15" hidden="false" customHeight="false" outlineLevel="0" collapsed="false">
      <c r="A44" s="11"/>
      <c r="B44" s="11"/>
      <c r="C44" s="11"/>
      <c r="D44" s="12"/>
      <c r="E44" s="13"/>
      <c r="F44" s="13"/>
      <c r="G44" s="14"/>
      <c r="H44" s="13"/>
      <c r="I44" s="15" t="str">
        <f aca="false">IF(OR(E44="",G44=""),"",E44*G44)</f>
        <v/>
      </c>
      <c r="J44" s="15" t="str">
        <f aca="false">IF(OR(E44="",F44="",G44=""),"",MAX(0,IF(H44="",(F44-E44)*G44,H44-E44*G44)))</f>
        <v/>
      </c>
      <c r="K44" s="16" t="str">
        <f aca="false">IF(D44="","",EDATE(D44,60))</f>
        <v/>
      </c>
      <c r="L44" s="17" t="str">
        <f aca="false">IF(K44="","",K44-Config!$B$6)</f>
        <v/>
      </c>
      <c r="M44" s="18" t="str">
        <f aca="false">IF(L44="","",IF(L44&lt;0,"PRESCRITO",IF(L44&lt;180,"URGENTE","OK")))</f>
        <v/>
      </c>
      <c r="N44" s="18" t="str">
        <f aca="false">IF(OR(D44="",J44=""),"",IF(M44="PRESCRITO","NÃO",IF(J44&gt;=Config!$B$4,"SIM","AVALIAR")))</f>
        <v/>
      </c>
      <c r="O44" s="15" t="str">
        <f aca="false">IF(N44="SIM",J44*Config!$B$5,"")</f>
        <v/>
      </c>
      <c r="P44" s="11"/>
    </row>
    <row r="45" customFormat="false" ht="15" hidden="false" customHeight="false" outlineLevel="0" collapsed="false">
      <c r="A45" s="19"/>
      <c r="B45" s="19"/>
      <c r="C45" s="19"/>
      <c r="D45" s="20"/>
      <c r="E45" s="21"/>
      <c r="F45" s="21"/>
      <c r="G45" s="22"/>
      <c r="H45" s="21"/>
      <c r="I45" s="23" t="str">
        <f aca="false">IF(OR(E45="",G45=""),"",E45*G45)</f>
        <v/>
      </c>
      <c r="J45" s="23" t="str">
        <f aca="false">IF(OR(E45="",F45="",G45=""),"",MAX(0,IF(H45="",(F45-E45)*G45,H45-E45*G45)))</f>
        <v/>
      </c>
      <c r="K45" s="5" t="str">
        <f aca="false">IF(D45="","",EDATE(D45,60))</f>
        <v/>
      </c>
      <c r="L45" s="24" t="str">
        <f aca="false">IF(K45="","",K45-Config!$B$6)</f>
        <v/>
      </c>
      <c r="M45" s="25" t="str">
        <f aca="false">IF(L45="","",IF(L45&lt;0,"PRESCRITO",IF(L45&lt;180,"URGENTE","OK")))</f>
        <v/>
      </c>
      <c r="N45" s="25" t="str">
        <f aca="false">IF(OR(D45="",J45=""),"",IF(M45="PRESCRITO","NÃO",IF(J45&gt;=Config!$B$4,"SIM","AVALIAR")))</f>
        <v/>
      </c>
      <c r="O45" s="23" t="str">
        <f aca="false">IF(N45="SIM",J45*Config!$B$5,"")</f>
        <v/>
      </c>
      <c r="P45" s="19"/>
    </row>
    <row r="46" customFormat="false" ht="15" hidden="false" customHeight="false" outlineLevel="0" collapsed="false">
      <c r="A46" s="11"/>
      <c r="B46" s="11"/>
      <c r="C46" s="11"/>
      <c r="D46" s="12"/>
      <c r="E46" s="13"/>
      <c r="F46" s="13"/>
      <c r="G46" s="14"/>
      <c r="H46" s="13"/>
      <c r="I46" s="15" t="str">
        <f aca="false">IF(OR(E46="",G46=""),"",E46*G46)</f>
        <v/>
      </c>
      <c r="J46" s="15" t="str">
        <f aca="false">IF(OR(E46="",F46="",G46=""),"",MAX(0,IF(H46="",(F46-E46)*G46,H46-E46*G46)))</f>
        <v/>
      </c>
      <c r="K46" s="16" t="str">
        <f aca="false">IF(D46="","",EDATE(D46,60))</f>
        <v/>
      </c>
      <c r="L46" s="17" t="str">
        <f aca="false">IF(K46="","",K46-Config!$B$6)</f>
        <v/>
      </c>
      <c r="M46" s="18" t="str">
        <f aca="false">IF(L46="","",IF(L46&lt;0,"PRESCRITO",IF(L46&lt;180,"URGENTE","OK")))</f>
        <v/>
      </c>
      <c r="N46" s="18" t="str">
        <f aca="false">IF(OR(D46="",J46=""),"",IF(M46="PRESCRITO","NÃO",IF(J46&gt;=Config!$B$4,"SIM","AVALIAR")))</f>
        <v/>
      </c>
      <c r="O46" s="15" t="str">
        <f aca="false">IF(N46="SIM",J46*Config!$B$5,"")</f>
        <v/>
      </c>
      <c r="P46" s="11"/>
    </row>
    <row r="47" customFormat="false" ht="15" hidden="false" customHeight="false" outlineLevel="0" collapsed="false">
      <c r="A47" s="19"/>
      <c r="B47" s="19"/>
      <c r="C47" s="19"/>
      <c r="D47" s="20"/>
      <c r="E47" s="21"/>
      <c r="F47" s="21"/>
      <c r="G47" s="22"/>
      <c r="H47" s="21"/>
      <c r="I47" s="23" t="str">
        <f aca="false">IF(OR(E47="",G47=""),"",E47*G47)</f>
        <v/>
      </c>
      <c r="J47" s="23" t="str">
        <f aca="false">IF(OR(E47="",F47="",G47=""),"",MAX(0,IF(H47="",(F47-E47)*G47,H47-E47*G47)))</f>
        <v/>
      </c>
      <c r="K47" s="5" t="str">
        <f aca="false">IF(D47="","",EDATE(D47,60))</f>
        <v/>
      </c>
      <c r="L47" s="24" t="str">
        <f aca="false">IF(K47="","",K47-Config!$B$6)</f>
        <v/>
      </c>
      <c r="M47" s="25" t="str">
        <f aca="false">IF(L47="","",IF(L47&lt;0,"PRESCRITO",IF(L47&lt;180,"URGENTE","OK")))</f>
        <v/>
      </c>
      <c r="N47" s="25" t="str">
        <f aca="false">IF(OR(D47="",J47=""),"",IF(M47="PRESCRITO","NÃO",IF(J47&gt;=Config!$B$4,"SIM","AVALIAR")))</f>
        <v/>
      </c>
      <c r="O47" s="23" t="str">
        <f aca="false">IF(N47="SIM",J47*Config!$B$5,"")</f>
        <v/>
      </c>
      <c r="P47" s="19"/>
    </row>
    <row r="48" customFormat="false" ht="15" hidden="false" customHeight="false" outlineLevel="0" collapsed="false">
      <c r="A48" s="11"/>
      <c r="B48" s="11"/>
      <c r="C48" s="11"/>
      <c r="D48" s="12"/>
      <c r="E48" s="13"/>
      <c r="F48" s="13"/>
      <c r="G48" s="14"/>
      <c r="H48" s="13"/>
      <c r="I48" s="15" t="str">
        <f aca="false">IF(OR(E48="",G48=""),"",E48*G48)</f>
        <v/>
      </c>
      <c r="J48" s="15" t="str">
        <f aca="false">IF(OR(E48="",F48="",G48=""),"",MAX(0,IF(H48="",(F48-E48)*G48,H48-E48*G48)))</f>
        <v/>
      </c>
      <c r="K48" s="16" t="str">
        <f aca="false">IF(D48="","",EDATE(D48,60))</f>
        <v/>
      </c>
      <c r="L48" s="17" t="str">
        <f aca="false">IF(K48="","",K48-Config!$B$6)</f>
        <v/>
      </c>
      <c r="M48" s="18" t="str">
        <f aca="false">IF(L48="","",IF(L48&lt;0,"PRESCRITO",IF(L48&lt;180,"URGENTE","OK")))</f>
        <v/>
      </c>
      <c r="N48" s="18" t="str">
        <f aca="false">IF(OR(D48="",J48=""),"",IF(M48="PRESCRITO","NÃO",IF(J48&gt;=Config!$B$4,"SIM","AVALIAR")))</f>
        <v/>
      </c>
      <c r="O48" s="15" t="str">
        <f aca="false">IF(N48="SIM",J48*Config!$B$5,"")</f>
        <v/>
      </c>
      <c r="P48" s="11"/>
    </row>
    <row r="49" customFormat="false" ht="15" hidden="false" customHeight="false" outlineLevel="0" collapsed="false">
      <c r="A49" s="19"/>
      <c r="B49" s="19"/>
      <c r="C49" s="19"/>
      <c r="D49" s="20"/>
      <c r="E49" s="21"/>
      <c r="F49" s="21"/>
      <c r="G49" s="22"/>
      <c r="H49" s="21"/>
      <c r="I49" s="23" t="str">
        <f aca="false">IF(OR(E49="",G49=""),"",E49*G49)</f>
        <v/>
      </c>
      <c r="J49" s="23" t="str">
        <f aca="false">IF(OR(E49="",F49="",G49=""),"",MAX(0,IF(H49="",(F49-E49)*G49,H49-E49*G49)))</f>
        <v/>
      </c>
      <c r="K49" s="5" t="str">
        <f aca="false">IF(D49="","",EDATE(D49,60))</f>
        <v/>
      </c>
      <c r="L49" s="24" t="str">
        <f aca="false">IF(K49="","",K49-Config!$B$6)</f>
        <v/>
      </c>
      <c r="M49" s="25" t="str">
        <f aca="false">IF(L49="","",IF(L49&lt;0,"PRESCRITO",IF(L49&lt;180,"URGENTE","OK")))</f>
        <v/>
      </c>
      <c r="N49" s="25" t="str">
        <f aca="false">IF(OR(D49="",J49=""),"",IF(M49="PRESCRITO","NÃO",IF(J49&gt;=Config!$B$4,"SIM","AVALIAR")))</f>
        <v/>
      </c>
      <c r="O49" s="23" t="str">
        <f aca="false">IF(N49="SIM",J49*Config!$B$5,"")</f>
        <v/>
      </c>
      <c r="P49" s="19"/>
    </row>
    <row r="50" customFormat="false" ht="15" hidden="false" customHeight="false" outlineLevel="0" collapsed="false">
      <c r="A50" s="11"/>
      <c r="B50" s="11"/>
      <c r="C50" s="11"/>
      <c r="D50" s="12"/>
      <c r="E50" s="13"/>
      <c r="F50" s="13"/>
      <c r="G50" s="14"/>
      <c r="H50" s="13"/>
      <c r="I50" s="15" t="str">
        <f aca="false">IF(OR(E50="",G50=""),"",E50*G50)</f>
        <v/>
      </c>
      <c r="J50" s="15" t="str">
        <f aca="false">IF(OR(E50="",F50="",G50=""),"",MAX(0,IF(H50="",(F50-E50)*G50,H50-E50*G50)))</f>
        <v/>
      </c>
      <c r="K50" s="16" t="str">
        <f aca="false">IF(D50="","",EDATE(D50,60))</f>
        <v/>
      </c>
      <c r="L50" s="17" t="str">
        <f aca="false">IF(K50="","",K50-Config!$B$6)</f>
        <v/>
      </c>
      <c r="M50" s="18" t="str">
        <f aca="false">IF(L50="","",IF(L50&lt;0,"PRESCRITO",IF(L50&lt;180,"URGENTE","OK")))</f>
        <v/>
      </c>
      <c r="N50" s="18" t="str">
        <f aca="false">IF(OR(D50="",J50=""),"",IF(M50="PRESCRITO","NÃO",IF(J50&gt;=Config!$B$4,"SIM","AVALIAR")))</f>
        <v/>
      </c>
      <c r="O50" s="15" t="str">
        <f aca="false">IF(N50="SIM",J50*Config!$B$5,"")</f>
        <v/>
      </c>
      <c r="P50" s="11"/>
    </row>
    <row r="51" customFormat="false" ht="15" hidden="false" customHeight="false" outlineLevel="0" collapsed="false">
      <c r="A51" s="19"/>
      <c r="B51" s="19"/>
      <c r="C51" s="19"/>
      <c r="D51" s="20"/>
      <c r="E51" s="21"/>
      <c r="F51" s="21"/>
      <c r="G51" s="22"/>
      <c r="H51" s="21"/>
      <c r="I51" s="23" t="str">
        <f aca="false">IF(OR(E51="",G51=""),"",E51*G51)</f>
        <v/>
      </c>
      <c r="J51" s="23" t="str">
        <f aca="false">IF(OR(E51="",F51="",G51=""),"",MAX(0,IF(H51="",(F51-E51)*G51,H51-E51*G51)))</f>
        <v/>
      </c>
      <c r="K51" s="5" t="str">
        <f aca="false">IF(D51="","",EDATE(D51,60))</f>
        <v/>
      </c>
      <c r="L51" s="24" t="str">
        <f aca="false">IF(K51="","",K51-Config!$B$6)</f>
        <v/>
      </c>
      <c r="M51" s="25" t="str">
        <f aca="false">IF(L51="","",IF(L51&lt;0,"PRESCRITO",IF(L51&lt;180,"URGENTE","OK")))</f>
        <v/>
      </c>
      <c r="N51" s="25" t="str">
        <f aca="false">IF(OR(D51="",J51=""),"",IF(M51="PRESCRITO","NÃO",IF(J51&gt;=Config!$B$4,"SIM","AVALIAR")))</f>
        <v/>
      </c>
      <c r="O51" s="23" t="str">
        <f aca="false">IF(N51="SIM",J51*Config!$B$5,"")</f>
        <v/>
      </c>
      <c r="P51" s="19"/>
    </row>
    <row r="52" customFormat="false" ht="15" hidden="false" customHeight="false" outlineLevel="0" collapsed="false">
      <c r="A52" s="11"/>
      <c r="B52" s="11"/>
      <c r="C52" s="11"/>
      <c r="D52" s="12"/>
      <c r="E52" s="13"/>
      <c r="F52" s="13"/>
      <c r="G52" s="14"/>
      <c r="H52" s="13"/>
      <c r="I52" s="15" t="str">
        <f aca="false">IF(OR(E52="",G52=""),"",E52*G52)</f>
        <v/>
      </c>
      <c r="J52" s="15" t="str">
        <f aca="false">IF(OR(E52="",F52="",G52=""),"",MAX(0,IF(H52="",(F52-E52)*G52,H52-E52*G52)))</f>
        <v/>
      </c>
      <c r="K52" s="16" t="str">
        <f aca="false">IF(D52="","",EDATE(D52,60))</f>
        <v/>
      </c>
      <c r="L52" s="17" t="str">
        <f aca="false">IF(K52="","",K52-Config!$B$6)</f>
        <v/>
      </c>
      <c r="M52" s="18" t="str">
        <f aca="false">IF(L52="","",IF(L52&lt;0,"PRESCRITO",IF(L52&lt;180,"URGENTE","OK")))</f>
        <v/>
      </c>
      <c r="N52" s="18" t="str">
        <f aca="false">IF(OR(D52="",J52=""),"",IF(M52="PRESCRITO","NÃO",IF(J52&gt;=Config!$B$4,"SIM","AVALIAR")))</f>
        <v/>
      </c>
      <c r="O52" s="15" t="str">
        <f aca="false">IF(N52="SIM",J52*Config!$B$5,"")</f>
        <v/>
      </c>
      <c r="P52" s="11"/>
    </row>
    <row r="53" customFormat="false" ht="15" hidden="false" customHeight="false" outlineLevel="0" collapsed="false">
      <c r="A53" s="19"/>
      <c r="B53" s="19"/>
      <c r="C53" s="19"/>
      <c r="D53" s="20"/>
      <c r="E53" s="21"/>
      <c r="F53" s="21"/>
      <c r="G53" s="22"/>
      <c r="H53" s="21"/>
      <c r="I53" s="23" t="str">
        <f aca="false">IF(OR(E53="",G53=""),"",E53*G53)</f>
        <v/>
      </c>
      <c r="J53" s="23" t="str">
        <f aca="false">IF(OR(E53="",F53="",G53=""),"",MAX(0,IF(H53="",(F53-E53)*G53,H53-E53*G53)))</f>
        <v/>
      </c>
      <c r="K53" s="5" t="str">
        <f aca="false">IF(D53="","",EDATE(D53,60))</f>
        <v/>
      </c>
      <c r="L53" s="24" t="str">
        <f aca="false">IF(K53="","",K53-Config!$B$6)</f>
        <v/>
      </c>
      <c r="M53" s="25" t="str">
        <f aca="false">IF(L53="","",IF(L53&lt;0,"PRESCRITO",IF(L53&lt;180,"URGENTE","OK")))</f>
        <v/>
      </c>
      <c r="N53" s="25" t="str">
        <f aca="false">IF(OR(D53="",J53=""),"",IF(M53="PRESCRITO","NÃO",IF(J53&gt;=Config!$B$4,"SIM","AVALIAR")))</f>
        <v/>
      </c>
      <c r="O53" s="23" t="str">
        <f aca="false">IF(N53="SIM",J53*Config!$B$5,"")</f>
        <v/>
      </c>
      <c r="P53" s="19"/>
    </row>
    <row r="54" customFormat="false" ht="15" hidden="false" customHeight="false" outlineLevel="0" collapsed="false">
      <c r="A54" s="11"/>
      <c r="B54" s="11"/>
      <c r="C54" s="11"/>
      <c r="D54" s="12"/>
      <c r="E54" s="13"/>
      <c r="F54" s="13"/>
      <c r="G54" s="14"/>
      <c r="H54" s="13"/>
      <c r="I54" s="15" t="str">
        <f aca="false">IF(OR(E54="",G54=""),"",E54*G54)</f>
        <v/>
      </c>
      <c r="J54" s="15" t="str">
        <f aca="false">IF(OR(E54="",F54="",G54=""),"",MAX(0,IF(H54="",(F54-E54)*G54,H54-E54*G54)))</f>
        <v/>
      </c>
      <c r="K54" s="16" t="str">
        <f aca="false">IF(D54="","",EDATE(D54,60))</f>
        <v/>
      </c>
      <c r="L54" s="17" t="str">
        <f aca="false">IF(K54="","",K54-Config!$B$6)</f>
        <v/>
      </c>
      <c r="M54" s="18" t="str">
        <f aca="false">IF(L54="","",IF(L54&lt;0,"PRESCRITO",IF(L54&lt;180,"URGENTE","OK")))</f>
        <v/>
      </c>
      <c r="N54" s="18" t="str">
        <f aca="false">IF(OR(D54="",J54=""),"",IF(M54="PRESCRITO","NÃO",IF(J54&gt;=Config!$B$4,"SIM","AVALIAR")))</f>
        <v/>
      </c>
      <c r="O54" s="15" t="str">
        <f aca="false">IF(N54="SIM",J54*Config!$B$5,"")</f>
        <v/>
      </c>
      <c r="P54" s="11"/>
    </row>
    <row r="55" customFormat="false" ht="15" hidden="false" customHeight="false" outlineLevel="0" collapsed="false">
      <c r="A55" s="19"/>
      <c r="B55" s="19"/>
      <c r="C55" s="19"/>
      <c r="D55" s="20"/>
      <c r="E55" s="21"/>
      <c r="F55" s="21"/>
      <c r="G55" s="22"/>
      <c r="H55" s="21"/>
      <c r="I55" s="23" t="str">
        <f aca="false">IF(OR(E55="",G55=""),"",E55*G55)</f>
        <v/>
      </c>
      <c r="J55" s="23" t="str">
        <f aca="false">IF(OR(E55="",F55="",G55=""),"",MAX(0,IF(H55="",(F55-E55)*G55,H55-E55*G55)))</f>
        <v/>
      </c>
      <c r="K55" s="5" t="str">
        <f aca="false">IF(D55="","",EDATE(D55,60))</f>
        <v/>
      </c>
      <c r="L55" s="24" t="str">
        <f aca="false">IF(K55="","",K55-Config!$B$6)</f>
        <v/>
      </c>
      <c r="M55" s="25" t="str">
        <f aca="false">IF(L55="","",IF(L55&lt;0,"PRESCRITO",IF(L55&lt;180,"URGENTE","OK")))</f>
        <v/>
      </c>
      <c r="N55" s="25" t="str">
        <f aca="false">IF(OR(D55="",J55=""),"",IF(M55="PRESCRITO","NÃO",IF(J55&gt;=Config!$B$4,"SIM","AVALIAR")))</f>
        <v/>
      </c>
      <c r="O55" s="23" t="str">
        <f aca="false">IF(N55="SIM",J55*Config!$B$5,"")</f>
        <v/>
      </c>
      <c r="P55" s="19"/>
    </row>
    <row r="56" customFormat="false" ht="15" hidden="false" customHeight="false" outlineLevel="0" collapsed="false">
      <c r="A56" s="11"/>
      <c r="B56" s="11"/>
      <c r="C56" s="11"/>
      <c r="D56" s="12"/>
      <c r="E56" s="13"/>
      <c r="F56" s="13"/>
      <c r="G56" s="14"/>
      <c r="H56" s="13"/>
      <c r="I56" s="15" t="str">
        <f aca="false">IF(OR(E56="",G56=""),"",E56*G56)</f>
        <v/>
      </c>
      <c r="J56" s="15" t="str">
        <f aca="false">IF(OR(E56="",F56="",G56=""),"",MAX(0,IF(H56="",(F56-E56)*G56,H56-E56*G56)))</f>
        <v/>
      </c>
      <c r="K56" s="16" t="str">
        <f aca="false">IF(D56="","",EDATE(D56,60))</f>
        <v/>
      </c>
      <c r="L56" s="17" t="str">
        <f aca="false">IF(K56="","",K56-Config!$B$6)</f>
        <v/>
      </c>
      <c r="M56" s="18" t="str">
        <f aca="false">IF(L56="","",IF(L56&lt;0,"PRESCRITO",IF(L56&lt;180,"URGENTE","OK")))</f>
        <v/>
      </c>
      <c r="N56" s="18" t="str">
        <f aca="false">IF(OR(D56="",J56=""),"",IF(M56="PRESCRITO","NÃO",IF(J56&gt;=Config!$B$4,"SIM","AVALIAR")))</f>
        <v/>
      </c>
      <c r="O56" s="15" t="str">
        <f aca="false">IF(N56="SIM",J56*Config!$B$5,"")</f>
        <v/>
      </c>
      <c r="P56" s="11"/>
    </row>
    <row r="57" customFormat="false" ht="15" hidden="false" customHeight="false" outlineLevel="0" collapsed="false">
      <c r="A57" s="19"/>
      <c r="B57" s="19"/>
      <c r="C57" s="19"/>
      <c r="D57" s="20"/>
      <c r="E57" s="21"/>
      <c r="F57" s="21"/>
      <c r="G57" s="22"/>
      <c r="H57" s="21"/>
      <c r="I57" s="23" t="str">
        <f aca="false">IF(OR(E57="",G57=""),"",E57*G57)</f>
        <v/>
      </c>
      <c r="J57" s="23" t="str">
        <f aca="false">IF(OR(E57="",F57="",G57=""),"",MAX(0,IF(H57="",(F57-E57)*G57,H57-E57*G57)))</f>
        <v/>
      </c>
      <c r="K57" s="5" t="str">
        <f aca="false">IF(D57="","",EDATE(D57,60))</f>
        <v/>
      </c>
      <c r="L57" s="24" t="str">
        <f aca="false">IF(K57="","",K57-Config!$B$6)</f>
        <v/>
      </c>
      <c r="M57" s="25" t="str">
        <f aca="false">IF(L57="","",IF(L57&lt;0,"PRESCRITO",IF(L57&lt;180,"URGENTE","OK")))</f>
        <v/>
      </c>
      <c r="N57" s="25" t="str">
        <f aca="false">IF(OR(D57="",J57=""),"",IF(M57="PRESCRITO","NÃO",IF(J57&gt;=Config!$B$4,"SIM","AVALIAR")))</f>
        <v/>
      </c>
      <c r="O57" s="23" t="str">
        <f aca="false">IF(N57="SIM",J57*Config!$B$5,"")</f>
        <v/>
      </c>
      <c r="P57" s="19"/>
    </row>
    <row r="58" customFormat="false" ht="15" hidden="false" customHeight="false" outlineLevel="0" collapsed="false">
      <c r="A58" s="11"/>
      <c r="B58" s="11"/>
      <c r="C58" s="11"/>
      <c r="D58" s="12"/>
      <c r="E58" s="13"/>
      <c r="F58" s="13"/>
      <c r="G58" s="14"/>
      <c r="H58" s="13"/>
      <c r="I58" s="15" t="str">
        <f aca="false">IF(OR(E58="",G58=""),"",E58*G58)</f>
        <v/>
      </c>
      <c r="J58" s="15" t="str">
        <f aca="false">IF(OR(E58="",F58="",G58=""),"",MAX(0,IF(H58="",(F58-E58)*G58,H58-E58*G58)))</f>
        <v/>
      </c>
      <c r="K58" s="16" t="str">
        <f aca="false">IF(D58="","",EDATE(D58,60))</f>
        <v/>
      </c>
      <c r="L58" s="17" t="str">
        <f aca="false">IF(K58="","",K58-Config!$B$6)</f>
        <v/>
      </c>
      <c r="M58" s="18" t="str">
        <f aca="false">IF(L58="","",IF(L58&lt;0,"PRESCRITO",IF(L58&lt;180,"URGENTE","OK")))</f>
        <v/>
      </c>
      <c r="N58" s="18" t="str">
        <f aca="false">IF(OR(D58="",J58=""),"",IF(M58="PRESCRITO","NÃO",IF(J58&gt;=Config!$B$4,"SIM","AVALIAR")))</f>
        <v/>
      </c>
      <c r="O58" s="15" t="str">
        <f aca="false">IF(N58="SIM",J58*Config!$B$5,"")</f>
        <v/>
      </c>
      <c r="P58" s="11"/>
    </row>
    <row r="59" customFormat="false" ht="15" hidden="false" customHeight="false" outlineLevel="0" collapsed="false">
      <c r="A59" s="19"/>
      <c r="B59" s="19"/>
      <c r="C59" s="19"/>
      <c r="D59" s="20"/>
      <c r="E59" s="21"/>
      <c r="F59" s="21"/>
      <c r="G59" s="22"/>
      <c r="H59" s="21"/>
      <c r="I59" s="23" t="str">
        <f aca="false">IF(OR(E59="",G59=""),"",E59*G59)</f>
        <v/>
      </c>
      <c r="J59" s="23" t="str">
        <f aca="false">IF(OR(E59="",F59="",G59=""),"",MAX(0,IF(H59="",(F59-E59)*G59,H59-E59*G59)))</f>
        <v/>
      </c>
      <c r="K59" s="5" t="str">
        <f aca="false">IF(D59="","",EDATE(D59,60))</f>
        <v/>
      </c>
      <c r="L59" s="24" t="str">
        <f aca="false">IF(K59="","",K59-Config!$B$6)</f>
        <v/>
      </c>
      <c r="M59" s="25" t="str">
        <f aca="false">IF(L59="","",IF(L59&lt;0,"PRESCRITO",IF(L59&lt;180,"URGENTE","OK")))</f>
        <v/>
      </c>
      <c r="N59" s="25" t="str">
        <f aca="false">IF(OR(D59="",J59=""),"",IF(M59="PRESCRITO","NÃO",IF(J59&gt;=Config!$B$4,"SIM","AVALIAR")))</f>
        <v/>
      </c>
      <c r="O59" s="23" t="str">
        <f aca="false">IF(N59="SIM",J59*Config!$B$5,"")</f>
        <v/>
      </c>
      <c r="P59" s="19"/>
    </row>
    <row r="60" customFormat="false" ht="15" hidden="false" customHeight="false" outlineLevel="0" collapsed="false">
      <c r="A60" s="11"/>
      <c r="B60" s="11"/>
      <c r="C60" s="11"/>
      <c r="D60" s="12"/>
      <c r="E60" s="13"/>
      <c r="F60" s="13"/>
      <c r="G60" s="14"/>
      <c r="H60" s="13"/>
      <c r="I60" s="15" t="str">
        <f aca="false">IF(OR(E60="",G60=""),"",E60*G60)</f>
        <v/>
      </c>
      <c r="J60" s="15" t="str">
        <f aca="false">IF(OR(E60="",F60="",G60=""),"",MAX(0,IF(H60="",(F60-E60)*G60,H60-E60*G60)))</f>
        <v/>
      </c>
      <c r="K60" s="16" t="str">
        <f aca="false">IF(D60="","",EDATE(D60,60))</f>
        <v/>
      </c>
      <c r="L60" s="17" t="str">
        <f aca="false">IF(K60="","",K60-Config!$B$6)</f>
        <v/>
      </c>
      <c r="M60" s="18" t="str">
        <f aca="false">IF(L60="","",IF(L60&lt;0,"PRESCRITO",IF(L60&lt;180,"URGENTE","OK")))</f>
        <v/>
      </c>
      <c r="N60" s="18" t="str">
        <f aca="false">IF(OR(D60="",J60=""),"",IF(M60="PRESCRITO","NÃO",IF(J60&gt;=Config!$B$4,"SIM","AVALIAR")))</f>
        <v/>
      </c>
      <c r="O60" s="15" t="str">
        <f aca="false">IF(N60="SIM",J60*Config!$B$5,"")</f>
        <v/>
      </c>
      <c r="P60" s="11"/>
    </row>
    <row r="61" customFormat="false" ht="15" hidden="false" customHeight="false" outlineLevel="0" collapsed="false">
      <c r="A61" s="19"/>
      <c r="B61" s="19"/>
      <c r="C61" s="19"/>
      <c r="D61" s="20"/>
      <c r="E61" s="21"/>
      <c r="F61" s="21"/>
      <c r="G61" s="22"/>
      <c r="H61" s="21"/>
      <c r="I61" s="23" t="str">
        <f aca="false">IF(OR(E61="",G61=""),"",E61*G61)</f>
        <v/>
      </c>
      <c r="J61" s="23" t="str">
        <f aca="false">IF(OR(E61="",F61="",G61=""),"",MAX(0,IF(H61="",(F61-E61)*G61,H61-E61*G61)))</f>
        <v/>
      </c>
      <c r="K61" s="5" t="str">
        <f aca="false">IF(D61="","",EDATE(D61,60))</f>
        <v/>
      </c>
      <c r="L61" s="24" t="str">
        <f aca="false">IF(K61="","",K61-Config!$B$6)</f>
        <v/>
      </c>
      <c r="M61" s="25" t="str">
        <f aca="false">IF(L61="","",IF(L61&lt;0,"PRESCRITO",IF(L61&lt;180,"URGENTE","OK")))</f>
        <v/>
      </c>
      <c r="N61" s="25" t="str">
        <f aca="false">IF(OR(D61="",J61=""),"",IF(M61="PRESCRITO","NÃO",IF(J61&gt;=Config!$B$4,"SIM","AVALIAR")))</f>
        <v/>
      </c>
      <c r="O61" s="23" t="str">
        <f aca="false">IF(N61="SIM",J61*Config!$B$5,"")</f>
        <v/>
      </c>
      <c r="P61" s="19"/>
    </row>
    <row r="62" customFormat="false" ht="15" hidden="false" customHeight="false" outlineLevel="0" collapsed="false">
      <c r="A62" s="11"/>
      <c r="B62" s="11"/>
      <c r="C62" s="11"/>
      <c r="D62" s="12"/>
      <c r="E62" s="13"/>
      <c r="F62" s="13"/>
      <c r="G62" s="14"/>
      <c r="H62" s="13"/>
      <c r="I62" s="15" t="str">
        <f aca="false">IF(OR(E62="",G62=""),"",E62*G62)</f>
        <v/>
      </c>
      <c r="J62" s="15" t="str">
        <f aca="false">IF(OR(E62="",F62="",G62=""),"",MAX(0,IF(H62="",(F62-E62)*G62,H62-E62*G62)))</f>
        <v/>
      </c>
      <c r="K62" s="16" t="str">
        <f aca="false">IF(D62="","",EDATE(D62,60))</f>
        <v/>
      </c>
      <c r="L62" s="17" t="str">
        <f aca="false">IF(K62="","",K62-Config!$B$6)</f>
        <v/>
      </c>
      <c r="M62" s="18" t="str">
        <f aca="false">IF(L62="","",IF(L62&lt;0,"PRESCRITO",IF(L62&lt;180,"URGENTE","OK")))</f>
        <v/>
      </c>
      <c r="N62" s="18" t="str">
        <f aca="false">IF(OR(D62="",J62=""),"",IF(M62="PRESCRITO","NÃO",IF(J62&gt;=Config!$B$4,"SIM","AVALIAR")))</f>
        <v/>
      </c>
      <c r="O62" s="15" t="str">
        <f aca="false">IF(N62="SIM",J62*Config!$B$5,"")</f>
        <v/>
      </c>
      <c r="P62" s="11"/>
    </row>
    <row r="63" customFormat="false" ht="15" hidden="false" customHeight="false" outlineLevel="0" collapsed="false">
      <c r="A63" s="19"/>
      <c r="B63" s="19"/>
      <c r="C63" s="19"/>
      <c r="D63" s="20"/>
      <c r="E63" s="21"/>
      <c r="F63" s="21"/>
      <c r="G63" s="22"/>
      <c r="H63" s="21"/>
      <c r="I63" s="23" t="str">
        <f aca="false">IF(OR(E63="",G63=""),"",E63*G63)</f>
        <v/>
      </c>
      <c r="J63" s="23" t="str">
        <f aca="false">IF(OR(E63="",F63="",G63=""),"",MAX(0,IF(H63="",(F63-E63)*G63,H63-E63*G63)))</f>
        <v/>
      </c>
      <c r="K63" s="5" t="str">
        <f aca="false">IF(D63="","",EDATE(D63,60))</f>
        <v/>
      </c>
      <c r="L63" s="24" t="str">
        <f aca="false">IF(K63="","",K63-Config!$B$6)</f>
        <v/>
      </c>
      <c r="M63" s="25" t="str">
        <f aca="false">IF(L63="","",IF(L63&lt;0,"PRESCRITO",IF(L63&lt;180,"URGENTE","OK")))</f>
        <v/>
      </c>
      <c r="N63" s="25" t="str">
        <f aca="false">IF(OR(D63="",J63=""),"",IF(M63="PRESCRITO","NÃO",IF(J63&gt;=Config!$B$4,"SIM","AVALIAR")))</f>
        <v/>
      </c>
      <c r="O63" s="23" t="str">
        <f aca="false">IF(N63="SIM",J63*Config!$B$5,"")</f>
        <v/>
      </c>
      <c r="P63" s="19"/>
    </row>
    <row r="64" customFormat="false" ht="15" hidden="false" customHeight="false" outlineLevel="0" collapsed="false">
      <c r="A64" s="11"/>
      <c r="B64" s="11"/>
      <c r="C64" s="11"/>
      <c r="D64" s="12"/>
      <c r="E64" s="13"/>
      <c r="F64" s="13"/>
      <c r="G64" s="14"/>
      <c r="H64" s="13"/>
      <c r="I64" s="15" t="str">
        <f aca="false">IF(OR(E64="",G64=""),"",E64*G64)</f>
        <v/>
      </c>
      <c r="J64" s="15" t="str">
        <f aca="false">IF(OR(E64="",F64="",G64=""),"",MAX(0,IF(H64="",(F64-E64)*G64,H64-E64*G64)))</f>
        <v/>
      </c>
      <c r="K64" s="16" t="str">
        <f aca="false">IF(D64="","",EDATE(D64,60))</f>
        <v/>
      </c>
      <c r="L64" s="17" t="str">
        <f aca="false">IF(K64="","",K64-Config!$B$6)</f>
        <v/>
      </c>
      <c r="M64" s="18" t="str">
        <f aca="false">IF(L64="","",IF(L64&lt;0,"PRESCRITO",IF(L64&lt;180,"URGENTE","OK")))</f>
        <v/>
      </c>
      <c r="N64" s="18" t="str">
        <f aca="false">IF(OR(D64="",J64=""),"",IF(M64="PRESCRITO","NÃO",IF(J64&gt;=Config!$B$4,"SIM","AVALIAR")))</f>
        <v/>
      </c>
      <c r="O64" s="15" t="str">
        <f aca="false">IF(N64="SIM",J64*Config!$B$5,"")</f>
        <v/>
      </c>
      <c r="P64" s="11"/>
    </row>
    <row r="65" customFormat="false" ht="15" hidden="false" customHeight="false" outlineLevel="0" collapsed="false">
      <c r="A65" s="19"/>
      <c r="B65" s="19"/>
      <c r="C65" s="19"/>
      <c r="D65" s="20"/>
      <c r="E65" s="21"/>
      <c r="F65" s="21"/>
      <c r="G65" s="22"/>
      <c r="H65" s="21"/>
      <c r="I65" s="23" t="str">
        <f aca="false">IF(OR(E65="",G65=""),"",E65*G65)</f>
        <v/>
      </c>
      <c r="J65" s="23" t="str">
        <f aca="false">IF(OR(E65="",F65="",G65=""),"",MAX(0,IF(H65="",(F65-E65)*G65,H65-E65*G65)))</f>
        <v/>
      </c>
      <c r="K65" s="5" t="str">
        <f aca="false">IF(D65="","",EDATE(D65,60))</f>
        <v/>
      </c>
      <c r="L65" s="24" t="str">
        <f aca="false">IF(K65="","",K65-Config!$B$6)</f>
        <v/>
      </c>
      <c r="M65" s="25" t="str">
        <f aca="false">IF(L65="","",IF(L65&lt;0,"PRESCRITO",IF(L65&lt;180,"URGENTE","OK")))</f>
        <v/>
      </c>
      <c r="N65" s="25" t="str">
        <f aca="false">IF(OR(D65="",J65=""),"",IF(M65="PRESCRITO","NÃO",IF(J65&gt;=Config!$B$4,"SIM","AVALIAR")))</f>
        <v/>
      </c>
      <c r="O65" s="23" t="str">
        <f aca="false">IF(N65="SIM",J65*Config!$B$5,"")</f>
        <v/>
      </c>
      <c r="P65" s="19"/>
    </row>
    <row r="66" customFormat="false" ht="15" hidden="false" customHeight="false" outlineLevel="0" collapsed="false">
      <c r="A66" s="11"/>
      <c r="B66" s="11"/>
      <c r="C66" s="11"/>
      <c r="D66" s="12"/>
      <c r="E66" s="13"/>
      <c r="F66" s="13"/>
      <c r="G66" s="14"/>
      <c r="H66" s="13"/>
      <c r="I66" s="15" t="str">
        <f aca="false">IF(OR(E66="",G66=""),"",E66*G66)</f>
        <v/>
      </c>
      <c r="J66" s="15" t="str">
        <f aca="false">IF(OR(E66="",F66="",G66=""),"",MAX(0,IF(H66="",(F66-E66)*G66,H66-E66*G66)))</f>
        <v/>
      </c>
      <c r="K66" s="16" t="str">
        <f aca="false">IF(D66="","",EDATE(D66,60))</f>
        <v/>
      </c>
      <c r="L66" s="17" t="str">
        <f aca="false">IF(K66="","",K66-Config!$B$6)</f>
        <v/>
      </c>
      <c r="M66" s="18" t="str">
        <f aca="false">IF(L66="","",IF(L66&lt;0,"PRESCRITO",IF(L66&lt;180,"URGENTE","OK")))</f>
        <v/>
      </c>
      <c r="N66" s="18" t="str">
        <f aca="false">IF(OR(D66="",J66=""),"",IF(M66="PRESCRITO","NÃO",IF(J66&gt;=Config!$B$4,"SIM","AVALIAR")))</f>
        <v/>
      </c>
      <c r="O66" s="15" t="str">
        <f aca="false">IF(N66="SIM",J66*Config!$B$5,"")</f>
        <v/>
      </c>
      <c r="P66" s="11"/>
    </row>
    <row r="67" customFormat="false" ht="15" hidden="false" customHeight="false" outlineLevel="0" collapsed="false">
      <c r="A67" s="19"/>
      <c r="B67" s="19"/>
      <c r="C67" s="19"/>
      <c r="D67" s="20"/>
      <c r="E67" s="21"/>
      <c r="F67" s="21"/>
      <c r="G67" s="22"/>
      <c r="H67" s="21"/>
      <c r="I67" s="23" t="str">
        <f aca="false">IF(OR(E67="",G67=""),"",E67*G67)</f>
        <v/>
      </c>
      <c r="J67" s="23" t="str">
        <f aca="false">IF(OR(E67="",F67="",G67=""),"",MAX(0,IF(H67="",(F67-E67)*G67,H67-E67*G67)))</f>
        <v/>
      </c>
      <c r="K67" s="5" t="str">
        <f aca="false">IF(D67="","",EDATE(D67,60))</f>
        <v/>
      </c>
      <c r="L67" s="24" t="str">
        <f aca="false">IF(K67="","",K67-Config!$B$6)</f>
        <v/>
      </c>
      <c r="M67" s="25" t="str">
        <f aca="false">IF(L67="","",IF(L67&lt;0,"PRESCRITO",IF(L67&lt;180,"URGENTE","OK")))</f>
        <v/>
      </c>
      <c r="N67" s="25" t="str">
        <f aca="false">IF(OR(D67="",J67=""),"",IF(M67="PRESCRITO","NÃO",IF(J67&gt;=Config!$B$4,"SIM","AVALIAR")))</f>
        <v/>
      </c>
      <c r="O67" s="23" t="str">
        <f aca="false">IF(N67="SIM",J67*Config!$B$5,"")</f>
        <v/>
      </c>
      <c r="P67" s="19"/>
    </row>
    <row r="68" customFormat="false" ht="15" hidden="false" customHeight="false" outlineLevel="0" collapsed="false">
      <c r="A68" s="11"/>
      <c r="B68" s="11"/>
      <c r="C68" s="11"/>
      <c r="D68" s="12"/>
      <c r="E68" s="13"/>
      <c r="F68" s="13"/>
      <c r="G68" s="14"/>
      <c r="H68" s="13"/>
      <c r="I68" s="15" t="str">
        <f aca="false">IF(OR(E68="",G68=""),"",E68*G68)</f>
        <v/>
      </c>
      <c r="J68" s="15" t="str">
        <f aca="false">IF(OR(E68="",F68="",G68=""),"",MAX(0,IF(H68="",(F68-E68)*G68,H68-E68*G68)))</f>
        <v/>
      </c>
      <c r="K68" s="16" t="str">
        <f aca="false">IF(D68="","",EDATE(D68,60))</f>
        <v/>
      </c>
      <c r="L68" s="17" t="str">
        <f aca="false">IF(K68="","",K68-Config!$B$6)</f>
        <v/>
      </c>
      <c r="M68" s="18" t="str">
        <f aca="false">IF(L68="","",IF(L68&lt;0,"PRESCRITO",IF(L68&lt;180,"URGENTE","OK")))</f>
        <v/>
      </c>
      <c r="N68" s="18" t="str">
        <f aca="false">IF(OR(D68="",J68=""),"",IF(M68="PRESCRITO","NÃO",IF(J68&gt;=Config!$B$4,"SIM","AVALIAR")))</f>
        <v/>
      </c>
      <c r="O68" s="15" t="str">
        <f aca="false">IF(N68="SIM",J68*Config!$B$5,"")</f>
        <v/>
      </c>
      <c r="P68" s="11"/>
    </row>
    <row r="69" customFormat="false" ht="15" hidden="false" customHeight="false" outlineLevel="0" collapsed="false">
      <c r="A69" s="19"/>
      <c r="B69" s="19"/>
      <c r="C69" s="19"/>
      <c r="D69" s="20"/>
      <c r="E69" s="21"/>
      <c r="F69" s="21"/>
      <c r="G69" s="22"/>
      <c r="H69" s="21"/>
      <c r="I69" s="23" t="str">
        <f aca="false">IF(OR(E69="",G69=""),"",E69*G69)</f>
        <v/>
      </c>
      <c r="J69" s="23" t="str">
        <f aca="false">IF(OR(E69="",F69="",G69=""),"",MAX(0,IF(H69="",(F69-E69)*G69,H69-E69*G69)))</f>
        <v/>
      </c>
      <c r="K69" s="5" t="str">
        <f aca="false">IF(D69="","",EDATE(D69,60))</f>
        <v/>
      </c>
      <c r="L69" s="24" t="str">
        <f aca="false">IF(K69="","",K69-Config!$B$6)</f>
        <v/>
      </c>
      <c r="M69" s="25" t="str">
        <f aca="false">IF(L69="","",IF(L69&lt;0,"PRESCRITO",IF(L69&lt;180,"URGENTE","OK")))</f>
        <v/>
      </c>
      <c r="N69" s="25" t="str">
        <f aca="false">IF(OR(D69="",J69=""),"",IF(M69="PRESCRITO","NÃO",IF(J69&gt;=Config!$B$4,"SIM","AVALIAR")))</f>
        <v/>
      </c>
      <c r="O69" s="23" t="str">
        <f aca="false">IF(N69="SIM",J69*Config!$B$5,"")</f>
        <v/>
      </c>
      <c r="P69" s="19"/>
    </row>
    <row r="70" customFormat="false" ht="15" hidden="false" customHeight="false" outlineLevel="0" collapsed="false">
      <c r="A70" s="11"/>
      <c r="B70" s="11"/>
      <c r="C70" s="11"/>
      <c r="D70" s="12"/>
      <c r="E70" s="13"/>
      <c r="F70" s="13"/>
      <c r="G70" s="14"/>
      <c r="H70" s="13"/>
      <c r="I70" s="15" t="str">
        <f aca="false">IF(OR(E70="",G70=""),"",E70*G70)</f>
        <v/>
      </c>
      <c r="J70" s="15" t="str">
        <f aca="false">IF(OR(E70="",F70="",G70=""),"",MAX(0,IF(H70="",(F70-E70)*G70,H70-E70*G70)))</f>
        <v/>
      </c>
      <c r="K70" s="16" t="str">
        <f aca="false">IF(D70="","",EDATE(D70,60))</f>
        <v/>
      </c>
      <c r="L70" s="17" t="str">
        <f aca="false">IF(K70="","",K70-Config!$B$6)</f>
        <v/>
      </c>
      <c r="M70" s="18" t="str">
        <f aca="false">IF(L70="","",IF(L70&lt;0,"PRESCRITO",IF(L70&lt;180,"URGENTE","OK")))</f>
        <v/>
      </c>
      <c r="N70" s="18" t="str">
        <f aca="false">IF(OR(D70="",J70=""),"",IF(M70="PRESCRITO","NÃO",IF(J70&gt;=Config!$B$4,"SIM","AVALIAR")))</f>
        <v/>
      </c>
      <c r="O70" s="15" t="str">
        <f aca="false">IF(N70="SIM",J70*Config!$B$5,"")</f>
        <v/>
      </c>
      <c r="P70" s="11"/>
    </row>
    <row r="71" customFormat="false" ht="15" hidden="false" customHeight="false" outlineLevel="0" collapsed="false">
      <c r="A71" s="19"/>
      <c r="B71" s="19"/>
      <c r="C71" s="19"/>
      <c r="D71" s="20"/>
      <c r="E71" s="21"/>
      <c r="F71" s="21"/>
      <c r="G71" s="22"/>
      <c r="H71" s="21"/>
      <c r="I71" s="23" t="str">
        <f aca="false">IF(OR(E71="",G71=""),"",E71*G71)</f>
        <v/>
      </c>
      <c r="J71" s="23" t="str">
        <f aca="false">IF(OR(E71="",F71="",G71=""),"",MAX(0,IF(H71="",(F71-E71)*G71,H71-E71*G71)))</f>
        <v/>
      </c>
      <c r="K71" s="5" t="str">
        <f aca="false">IF(D71="","",EDATE(D71,60))</f>
        <v/>
      </c>
      <c r="L71" s="24" t="str">
        <f aca="false">IF(K71="","",K71-Config!$B$6)</f>
        <v/>
      </c>
      <c r="M71" s="25" t="str">
        <f aca="false">IF(L71="","",IF(L71&lt;0,"PRESCRITO",IF(L71&lt;180,"URGENTE","OK")))</f>
        <v/>
      </c>
      <c r="N71" s="25" t="str">
        <f aca="false">IF(OR(D71="",J71=""),"",IF(M71="PRESCRITO","NÃO",IF(J71&gt;=Config!$B$4,"SIM","AVALIAR")))</f>
        <v/>
      </c>
      <c r="O71" s="23" t="str">
        <f aca="false">IF(N71="SIM",J71*Config!$B$5,"")</f>
        <v/>
      </c>
      <c r="P71" s="19"/>
    </row>
    <row r="72" customFormat="false" ht="15" hidden="false" customHeight="false" outlineLevel="0" collapsed="false">
      <c r="A72" s="11"/>
      <c r="B72" s="11"/>
      <c r="C72" s="11"/>
      <c r="D72" s="12"/>
      <c r="E72" s="13"/>
      <c r="F72" s="13"/>
      <c r="G72" s="14"/>
      <c r="H72" s="13"/>
      <c r="I72" s="15" t="str">
        <f aca="false">IF(OR(E72="",G72=""),"",E72*G72)</f>
        <v/>
      </c>
      <c r="J72" s="15" t="str">
        <f aca="false">IF(OR(E72="",F72="",G72=""),"",MAX(0,IF(H72="",(F72-E72)*G72,H72-E72*G72)))</f>
        <v/>
      </c>
      <c r="K72" s="16" t="str">
        <f aca="false">IF(D72="","",EDATE(D72,60))</f>
        <v/>
      </c>
      <c r="L72" s="17" t="str">
        <f aca="false">IF(K72="","",K72-Config!$B$6)</f>
        <v/>
      </c>
      <c r="M72" s="18" t="str">
        <f aca="false">IF(L72="","",IF(L72&lt;0,"PRESCRITO",IF(L72&lt;180,"URGENTE","OK")))</f>
        <v/>
      </c>
      <c r="N72" s="18" t="str">
        <f aca="false">IF(OR(D72="",J72=""),"",IF(M72="PRESCRITO","NÃO",IF(J72&gt;=Config!$B$4,"SIM","AVALIAR")))</f>
        <v/>
      </c>
      <c r="O72" s="15" t="str">
        <f aca="false">IF(N72="SIM",J72*Config!$B$5,"")</f>
        <v/>
      </c>
      <c r="P72" s="11"/>
    </row>
    <row r="73" customFormat="false" ht="15" hidden="false" customHeight="false" outlineLevel="0" collapsed="false">
      <c r="A73" s="19"/>
      <c r="B73" s="19"/>
      <c r="C73" s="19"/>
      <c r="D73" s="20"/>
      <c r="E73" s="21"/>
      <c r="F73" s="21"/>
      <c r="G73" s="22"/>
      <c r="H73" s="21"/>
      <c r="I73" s="23" t="str">
        <f aca="false">IF(OR(E73="",G73=""),"",E73*G73)</f>
        <v/>
      </c>
      <c r="J73" s="23" t="str">
        <f aca="false">IF(OR(E73="",F73="",G73=""),"",MAX(0,IF(H73="",(F73-E73)*G73,H73-E73*G73)))</f>
        <v/>
      </c>
      <c r="K73" s="5" t="str">
        <f aca="false">IF(D73="","",EDATE(D73,60))</f>
        <v/>
      </c>
      <c r="L73" s="24" t="str">
        <f aca="false">IF(K73="","",K73-Config!$B$6)</f>
        <v/>
      </c>
      <c r="M73" s="25" t="str">
        <f aca="false">IF(L73="","",IF(L73&lt;0,"PRESCRITO",IF(L73&lt;180,"URGENTE","OK")))</f>
        <v/>
      </c>
      <c r="N73" s="25" t="str">
        <f aca="false">IF(OR(D73="",J73=""),"",IF(M73="PRESCRITO","NÃO",IF(J73&gt;=Config!$B$4,"SIM","AVALIAR")))</f>
        <v/>
      </c>
      <c r="O73" s="23" t="str">
        <f aca="false">IF(N73="SIM",J73*Config!$B$5,"")</f>
        <v/>
      </c>
      <c r="P73" s="19"/>
    </row>
    <row r="74" customFormat="false" ht="15" hidden="false" customHeight="false" outlineLevel="0" collapsed="false">
      <c r="A74" s="11"/>
      <c r="B74" s="11"/>
      <c r="C74" s="11"/>
      <c r="D74" s="12"/>
      <c r="E74" s="13"/>
      <c r="F74" s="13"/>
      <c r="G74" s="14"/>
      <c r="H74" s="13"/>
      <c r="I74" s="15" t="str">
        <f aca="false">IF(OR(E74="",G74=""),"",E74*G74)</f>
        <v/>
      </c>
      <c r="J74" s="15" t="str">
        <f aca="false">IF(OR(E74="",F74="",G74=""),"",MAX(0,IF(H74="",(F74-E74)*G74,H74-E74*G74)))</f>
        <v/>
      </c>
      <c r="K74" s="16" t="str">
        <f aca="false">IF(D74="","",EDATE(D74,60))</f>
        <v/>
      </c>
      <c r="L74" s="17" t="str">
        <f aca="false">IF(K74="","",K74-Config!$B$6)</f>
        <v/>
      </c>
      <c r="M74" s="18" t="str">
        <f aca="false">IF(L74="","",IF(L74&lt;0,"PRESCRITO",IF(L74&lt;180,"URGENTE","OK")))</f>
        <v/>
      </c>
      <c r="N74" s="18" t="str">
        <f aca="false">IF(OR(D74="",J74=""),"",IF(M74="PRESCRITO","NÃO",IF(J74&gt;=Config!$B$4,"SIM","AVALIAR")))</f>
        <v/>
      </c>
      <c r="O74" s="15" t="str">
        <f aca="false">IF(N74="SIM",J74*Config!$B$5,"")</f>
        <v/>
      </c>
      <c r="P74" s="11"/>
    </row>
    <row r="75" customFormat="false" ht="15" hidden="false" customHeight="false" outlineLevel="0" collapsed="false">
      <c r="A75" s="19"/>
      <c r="B75" s="19"/>
      <c r="C75" s="19"/>
      <c r="D75" s="20"/>
      <c r="E75" s="21"/>
      <c r="F75" s="21"/>
      <c r="G75" s="22"/>
      <c r="H75" s="21"/>
      <c r="I75" s="23" t="str">
        <f aca="false">IF(OR(E75="",G75=""),"",E75*G75)</f>
        <v/>
      </c>
      <c r="J75" s="23" t="str">
        <f aca="false">IF(OR(E75="",F75="",G75=""),"",MAX(0,IF(H75="",(F75-E75)*G75,H75-E75*G75)))</f>
        <v/>
      </c>
      <c r="K75" s="5" t="str">
        <f aca="false">IF(D75="","",EDATE(D75,60))</f>
        <v/>
      </c>
      <c r="L75" s="24" t="str">
        <f aca="false">IF(K75="","",K75-Config!$B$6)</f>
        <v/>
      </c>
      <c r="M75" s="25" t="str">
        <f aca="false">IF(L75="","",IF(L75&lt;0,"PRESCRITO",IF(L75&lt;180,"URGENTE","OK")))</f>
        <v/>
      </c>
      <c r="N75" s="25" t="str">
        <f aca="false">IF(OR(D75="",J75=""),"",IF(M75="PRESCRITO","NÃO",IF(J75&gt;=Config!$B$4,"SIM","AVALIAR")))</f>
        <v/>
      </c>
      <c r="O75" s="23" t="str">
        <f aca="false">IF(N75="SIM",J75*Config!$B$5,"")</f>
        <v/>
      </c>
      <c r="P75" s="19"/>
    </row>
    <row r="76" customFormat="false" ht="15" hidden="false" customHeight="false" outlineLevel="0" collapsed="false">
      <c r="A76" s="11"/>
      <c r="B76" s="11"/>
      <c r="C76" s="11"/>
      <c r="D76" s="12"/>
      <c r="E76" s="13"/>
      <c r="F76" s="13"/>
      <c r="G76" s="14"/>
      <c r="H76" s="13"/>
      <c r="I76" s="15" t="str">
        <f aca="false">IF(OR(E76="",G76=""),"",E76*G76)</f>
        <v/>
      </c>
      <c r="J76" s="15" t="str">
        <f aca="false">IF(OR(E76="",F76="",G76=""),"",MAX(0,IF(H76="",(F76-E76)*G76,H76-E76*G76)))</f>
        <v/>
      </c>
      <c r="K76" s="16" t="str">
        <f aca="false">IF(D76="","",EDATE(D76,60))</f>
        <v/>
      </c>
      <c r="L76" s="17" t="str">
        <f aca="false">IF(K76="","",K76-Config!$B$6)</f>
        <v/>
      </c>
      <c r="M76" s="18" t="str">
        <f aca="false">IF(L76="","",IF(L76&lt;0,"PRESCRITO",IF(L76&lt;180,"URGENTE","OK")))</f>
        <v/>
      </c>
      <c r="N76" s="18" t="str">
        <f aca="false">IF(OR(D76="",J76=""),"",IF(M76="PRESCRITO","NÃO",IF(J76&gt;=Config!$B$4,"SIM","AVALIAR")))</f>
        <v/>
      </c>
      <c r="O76" s="15" t="str">
        <f aca="false">IF(N76="SIM",J76*Config!$B$5,"")</f>
        <v/>
      </c>
      <c r="P76" s="11"/>
    </row>
    <row r="77" customFormat="false" ht="15" hidden="false" customHeight="false" outlineLevel="0" collapsed="false">
      <c r="A77" s="19"/>
      <c r="B77" s="19"/>
      <c r="C77" s="19"/>
      <c r="D77" s="20"/>
      <c r="E77" s="21"/>
      <c r="F77" s="21"/>
      <c r="G77" s="22"/>
      <c r="H77" s="21"/>
      <c r="I77" s="23" t="str">
        <f aca="false">IF(OR(E77="",G77=""),"",E77*G77)</f>
        <v/>
      </c>
      <c r="J77" s="23" t="str">
        <f aca="false">IF(OR(E77="",F77="",G77=""),"",MAX(0,IF(H77="",(F77-E77)*G77,H77-E77*G77)))</f>
        <v/>
      </c>
      <c r="K77" s="5" t="str">
        <f aca="false">IF(D77="","",EDATE(D77,60))</f>
        <v/>
      </c>
      <c r="L77" s="24" t="str">
        <f aca="false">IF(K77="","",K77-Config!$B$6)</f>
        <v/>
      </c>
      <c r="M77" s="25" t="str">
        <f aca="false">IF(L77="","",IF(L77&lt;0,"PRESCRITO",IF(L77&lt;180,"URGENTE","OK")))</f>
        <v/>
      </c>
      <c r="N77" s="25" t="str">
        <f aca="false">IF(OR(D77="",J77=""),"",IF(M77="PRESCRITO","NÃO",IF(J77&gt;=Config!$B$4,"SIM","AVALIAR")))</f>
        <v/>
      </c>
      <c r="O77" s="23" t="str">
        <f aca="false">IF(N77="SIM",J77*Config!$B$5,"")</f>
        <v/>
      </c>
      <c r="P77" s="19"/>
    </row>
    <row r="78" customFormat="false" ht="15" hidden="false" customHeight="false" outlineLevel="0" collapsed="false">
      <c r="A78" s="11"/>
      <c r="B78" s="11"/>
      <c r="C78" s="11"/>
      <c r="D78" s="12"/>
      <c r="E78" s="13"/>
      <c r="F78" s="13"/>
      <c r="G78" s="14"/>
      <c r="H78" s="13"/>
      <c r="I78" s="15" t="str">
        <f aca="false">IF(OR(E78="",G78=""),"",E78*G78)</f>
        <v/>
      </c>
      <c r="J78" s="15" t="str">
        <f aca="false">IF(OR(E78="",F78="",G78=""),"",MAX(0,IF(H78="",(F78-E78)*G78,H78-E78*G78)))</f>
        <v/>
      </c>
      <c r="K78" s="16" t="str">
        <f aca="false">IF(D78="","",EDATE(D78,60))</f>
        <v/>
      </c>
      <c r="L78" s="17" t="str">
        <f aca="false">IF(K78="","",K78-Config!$B$6)</f>
        <v/>
      </c>
      <c r="M78" s="18" t="str">
        <f aca="false">IF(L78="","",IF(L78&lt;0,"PRESCRITO",IF(L78&lt;180,"URGENTE","OK")))</f>
        <v/>
      </c>
      <c r="N78" s="18" t="str">
        <f aca="false">IF(OR(D78="",J78=""),"",IF(M78="PRESCRITO","NÃO",IF(J78&gt;=Config!$B$4,"SIM","AVALIAR")))</f>
        <v/>
      </c>
      <c r="O78" s="15" t="str">
        <f aca="false">IF(N78="SIM",J78*Config!$B$5,"")</f>
        <v/>
      </c>
      <c r="P78" s="11"/>
    </row>
    <row r="79" customFormat="false" ht="15" hidden="false" customHeight="false" outlineLevel="0" collapsed="false">
      <c r="A79" s="19"/>
      <c r="B79" s="19"/>
      <c r="C79" s="19"/>
      <c r="D79" s="20"/>
      <c r="E79" s="21"/>
      <c r="F79" s="21"/>
      <c r="G79" s="22"/>
      <c r="H79" s="21"/>
      <c r="I79" s="23" t="str">
        <f aca="false">IF(OR(E79="",G79=""),"",E79*G79)</f>
        <v/>
      </c>
      <c r="J79" s="23" t="str">
        <f aca="false">IF(OR(E79="",F79="",G79=""),"",MAX(0,IF(H79="",(F79-E79)*G79,H79-E79*G79)))</f>
        <v/>
      </c>
      <c r="K79" s="5" t="str">
        <f aca="false">IF(D79="","",EDATE(D79,60))</f>
        <v/>
      </c>
      <c r="L79" s="24" t="str">
        <f aca="false">IF(K79="","",K79-Config!$B$6)</f>
        <v/>
      </c>
      <c r="M79" s="25" t="str">
        <f aca="false">IF(L79="","",IF(L79&lt;0,"PRESCRITO",IF(L79&lt;180,"URGENTE","OK")))</f>
        <v/>
      </c>
      <c r="N79" s="25" t="str">
        <f aca="false">IF(OR(D79="",J79=""),"",IF(M79="PRESCRITO","NÃO",IF(J79&gt;=Config!$B$4,"SIM","AVALIAR")))</f>
        <v/>
      </c>
      <c r="O79" s="23" t="str">
        <f aca="false">IF(N79="SIM",J79*Config!$B$5,"")</f>
        <v/>
      </c>
      <c r="P79" s="19"/>
    </row>
    <row r="80" customFormat="false" ht="15" hidden="false" customHeight="false" outlineLevel="0" collapsed="false">
      <c r="A80" s="11"/>
      <c r="B80" s="11"/>
      <c r="C80" s="11"/>
      <c r="D80" s="12"/>
      <c r="E80" s="13"/>
      <c r="F80" s="13"/>
      <c r="G80" s="14"/>
      <c r="H80" s="13"/>
      <c r="I80" s="15" t="str">
        <f aca="false">IF(OR(E80="",G80=""),"",E80*G80)</f>
        <v/>
      </c>
      <c r="J80" s="15" t="str">
        <f aca="false">IF(OR(E80="",F80="",G80=""),"",MAX(0,IF(H80="",(F80-E80)*G80,H80-E80*G80)))</f>
        <v/>
      </c>
      <c r="K80" s="16" t="str">
        <f aca="false">IF(D80="","",EDATE(D80,60))</f>
        <v/>
      </c>
      <c r="L80" s="17" t="str">
        <f aca="false">IF(K80="","",K80-Config!$B$6)</f>
        <v/>
      </c>
      <c r="M80" s="18" t="str">
        <f aca="false">IF(L80="","",IF(L80&lt;0,"PRESCRITO",IF(L80&lt;180,"URGENTE","OK")))</f>
        <v/>
      </c>
      <c r="N80" s="18" t="str">
        <f aca="false">IF(OR(D80="",J80=""),"",IF(M80="PRESCRITO","NÃO",IF(J80&gt;=Config!$B$4,"SIM","AVALIAR")))</f>
        <v/>
      </c>
      <c r="O80" s="15" t="str">
        <f aca="false">IF(N80="SIM",J80*Config!$B$5,"")</f>
        <v/>
      </c>
      <c r="P80" s="11"/>
    </row>
    <row r="81" customFormat="false" ht="15" hidden="false" customHeight="false" outlineLevel="0" collapsed="false">
      <c r="A81" s="19"/>
      <c r="B81" s="19"/>
      <c r="C81" s="19"/>
      <c r="D81" s="20"/>
      <c r="E81" s="21"/>
      <c r="F81" s="21"/>
      <c r="G81" s="22"/>
      <c r="H81" s="21"/>
      <c r="I81" s="23" t="str">
        <f aca="false">IF(OR(E81="",G81=""),"",E81*G81)</f>
        <v/>
      </c>
      <c r="J81" s="23" t="str">
        <f aca="false">IF(OR(E81="",F81="",G81=""),"",MAX(0,IF(H81="",(F81-E81)*G81,H81-E81*G81)))</f>
        <v/>
      </c>
      <c r="K81" s="5" t="str">
        <f aca="false">IF(D81="","",EDATE(D81,60))</f>
        <v/>
      </c>
      <c r="L81" s="24" t="str">
        <f aca="false">IF(K81="","",K81-Config!$B$6)</f>
        <v/>
      </c>
      <c r="M81" s="25" t="str">
        <f aca="false">IF(L81="","",IF(L81&lt;0,"PRESCRITO",IF(L81&lt;180,"URGENTE","OK")))</f>
        <v/>
      </c>
      <c r="N81" s="25" t="str">
        <f aca="false">IF(OR(D81="",J81=""),"",IF(M81="PRESCRITO","NÃO",IF(J81&gt;=Config!$B$4,"SIM","AVALIAR")))</f>
        <v/>
      </c>
      <c r="O81" s="23" t="str">
        <f aca="false">IF(N81="SIM",J81*Config!$B$5,"")</f>
        <v/>
      </c>
      <c r="P81" s="19"/>
    </row>
    <row r="82" customFormat="false" ht="15" hidden="false" customHeight="false" outlineLevel="0" collapsed="false">
      <c r="A82" s="11"/>
      <c r="B82" s="11"/>
      <c r="C82" s="11"/>
      <c r="D82" s="12"/>
      <c r="E82" s="13"/>
      <c r="F82" s="13"/>
      <c r="G82" s="14"/>
      <c r="H82" s="13"/>
      <c r="I82" s="15" t="str">
        <f aca="false">IF(OR(E82="",G82=""),"",E82*G82)</f>
        <v/>
      </c>
      <c r="J82" s="15" t="str">
        <f aca="false">IF(OR(E82="",F82="",G82=""),"",MAX(0,IF(H82="",(F82-E82)*G82,H82-E82*G82)))</f>
        <v/>
      </c>
      <c r="K82" s="16" t="str">
        <f aca="false">IF(D82="","",EDATE(D82,60))</f>
        <v/>
      </c>
      <c r="L82" s="17" t="str">
        <f aca="false">IF(K82="","",K82-Config!$B$6)</f>
        <v/>
      </c>
      <c r="M82" s="18" t="str">
        <f aca="false">IF(L82="","",IF(L82&lt;0,"PRESCRITO",IF(L82&lt;180,"URGENTE","OK")))</f>
        <v/>
      </c>
      <c r="N82" s="18" t="str">
        <f aca="false">IF(OR(D82="",J82=""),"",IF(M82="PRESCRITO","NÃO",IF(J82&gt;=Config!$B$4,"SIM","AVALIAR")))</f>
        <v/>
      </c>
      <c r="O82" s="15" t="str">
        <f aca="false">IF(N82="SIM",J82*Config!$B$5,"")</f>
        <v/>
      </c>
      <c r="P82" s="11"/>
    </row>
    <row r="83" customFormat="false" ht="15" hidden="false" customHeight="false" outlineLevel="0" collapsed="false">
      <c r="A83" s="19"/>
      <c r="B83" s="19"/>
      <c r="C83" s="19"/>
      <c r="D83" s="20"/>
      <c r="E83" s="21"/>
      <c r="F83" s="21"/>
      <c r="G83" s="22"/>
      <c r="H83" s="21"/>
      <c r="I83" s="23" t="str">
        <f aca="false">IF(OR(E83="",G83=""),"",E83*G83)</f>
        <v/>
      </c>
      <c r="J83" s="23" t="str">
        <f aca="false">IF(OR(E83="",F83="",G83=""),"",MAX(0,IF(H83="",(F83-E83)*G83,H83-E83*G83)))</f>
        <v/>
      </c>
      <c r="K83" s="5" t="str">
        <f aca="false">IF(D83="","",EDATE(D83,60))</f>
        <v/>
      </c>
      <c r="L83" s="24" t="str">
        <f aca="false">IF(K83="","",K83-Config!$B$6)</f>
        <v/>
      </c>
      <c r="M83" s="25" t="str">
        <f aca="false">IF(L83="","",IF(L83&lt;0,"PRESCRITO",IF(L83&lt;180,"URGENTE","OK")))</f>
        <v/>
      </c>
      <c r="N83" s="25" t="str">
        <f aca="false">IF(OR(D83="",J83=""),"",IF(M83="PRESCRITO","NÃO",IF(J83&gt;=Config!$B$4,"SIM","AVALIAR")))</f>
        <v/>
      </c>
      <c r="O83" s="23" t="str">
        <f aca="false">IF(N83="SIM",J83*Config!$B$5,"")</f>
        <v/>
      </c>
      <c r="P83" s="19"/>
    </row>
    <row r="84" customFormat="false" ht="15" hidden="false" customHeight="false" outlineLevel="0" collapsed="false">
      <c r="A84" s="11"/>
      <c r="B84" s="11"/>
      <c r="C84" s="11"/>
      <c r="D84" s="12"/>
      <c r="E84" s="13"/>
      <c r="F84" s="13"/>
      <c r="G84" s="14"/>
      <c r="H84" s="13"/>
      <c r="I84" s="15" t="str">
        <f aca="false">IF(OR(E84="",G84=""),"",E84*G84)</f>
        <v/>
      </c>
      <c r="J84" s="15" t="str">
        <f aca="false">IF(OR(E84="",F84="",G84=""),"",MAX(0,IF(H84="",(F84-E84)*G84,H84-E84*G84)))</f>
        <v/>
      </c>
      <c r="K84" s="16" t="str">
        <f aca="false">IF(D84="","",EDATE(D84,60))</f>
        <v/>
      </c>
      <c r="L84" s="17" t="str">
        <f aca="false">IF(K84="","",K84-Config!$B$6)</f>
        <v/>
      </c>
      <c r="M84" s="18" t="str">
        <f aca="false">IF(L84="","",IF(L84&lt;0,"PRESCRITO",IF(L84&lt;180,"URGENTE","OK")))</f>
        <v/>
      </c>
      <c r="N84" s="18" t="str">
        <f aca="false">IF(OR(D84="",J84=""),"",IF(M84="PRESCRITO","NÃO",IF(J84&gt;=Config!$B$4,"SIM","AVALIAR")))</f>
        <v/>
      </c>
      <c r="O84" s="15" t="str">
        <f aca="false">IF(N84="SIM",J84*Config!$B$5,"")</f>
        <v/>
      </c>
      <c r="P84" s="11"/>
    </row>
    <row r="85" customFormat="false" ht="15" hidden="false" customHeight="false" outlineLevel="0" collapsed="false">
      <c r="A85" s="19"/>
      <c r="B85" s="19"/>
      <c r="C85" s="19"/>
      <c r="D85" s="20"/>
      <c r="E85" s="21"/>
      <c r="F85" s="21"/>
      <c r="G85" s="22"/>
      <c r="H85" s="21"/>
      <c r="I85" s="23" t="str">
        <f aca="false">IF(OR(E85="",G85=""),"",E85*G85)</f>
        <v/>
      </c>
      <c r="J85" s="23" t="str">
        <f aca="false">IF(OR(E85="",F85="",G85=""),"",MAX(0,IF(H85="",(F85-E85)*G85,H85-E85*G85)))</f>
        <v/>
      </c>
      <c r="K85" s="5" t="str">
        <f aca="false">IF(D85="","",EDATE(D85,60))</f>
        <v/>
      </c>
      <c r="L85" s="24" t="str">
        <f aca="false">IF(K85="","",K85-Config!$B$6)</f>
        <v/>
      </c>
      <c r="M85" s="25" t="str">
        <f aca="false">IF(L85="","",IF(L85&lt;0,"PRESCRITO",IF(L85&lt;180,"URGENTE","OK")))</f>
        <v/>
      </c>
      <c r="N85" s="25" t="str">
        <f aca="false">IF(OR(D85="",J85=""),"",IF(M85="PRESCRITO","NÃO",IF(J85&gt;=Config!$B$4,"SIM","AVALIAR")))</f>
        <v/>
      </c>
      <c r="O85" s="23" t="str">
        <f aca="false">IF(N85="SIM",J85*Config!$B$5,"")</f>
        <v/>
      </c>
      <c r="P85" s="19"/>
    </row>
    <row r="86" customFormat="false" ht="15" hidden="false" customHeight="false" outlineLevel="0" collapsed="false">
      <c r="A86" s="11"/>
      <c r="B86" s="11"/>
      <c r="C86" s="11"/>
      <c r="D86" s="12"/>
      <c r="E86" s="13"/>
      <c r="F86" s="13"/>
      <c r="G86" s="14"/>
      <c r="H86" s="13"/>
      <c r="I86" s="15" t="str">
        <f aca="false">IF(OR(E86="",G86=""),"",E86*G86)</f>
        <v/>
      </c>
      <c r="J86" s="15" t="str">
        <f aca="false">IF(OR(E86="",F86="",G86=""),"",MAX(0,IF(H86="",(F86-E86)*G86,H86-E86*G86)))</f>
        <v/>
      </c>
      <c r="K86" s="16" t="str">
        <f aca="false">IF(D86="","",EDATE(D86,60))</f>
        <v/>
      </c>
      <c r="L86" s="17" t="str">
        <f aca="false">IF(K86="","",K86-Config!$B$6)</f>
        <v/>
      </c>
      <c r="M86" s="18" t="str">
        <f aca="false">IF(L86="","",IF(L86&lt;0,"PRESCRITO",IF(L86&lt;180,"URGENTE","OK")))</f>
        <v/>
      </c>
      <c r="N86" s="18" t="str">
        <f aca="false">IF(OR(D86="",J86=""),"",IF(M86="PRESCRITO","NÃO",IF(J86&gt;=Config!$B$4,"SIM","AVALIAR")))</f>
        <v/>
      </c>
      <c r="O86" s="15" t="str">
        <f aca="false">IF(N86="SIM",J86*Config!$B$5,"")</f>
        <v/>
      </c>
      <c r="P86" s="11"/>
    </row>
    <row r="87" customFormat="false" ht="15" hidden="false" customHeight="false" outlineLevel="0" collapsed="false">
      <c r="A87" s="19"/>
      <c r="B87" s="19"/>
      <c r="C87" s="19"/>
      <c r="D87" s="20"/>
      <c r="E87" s="21"/>
      <c r="F87" s="21"/>
      <c r="G87" s="22"/>
      <c r="H87" s="21"/>
      <c r="I87" s="23" t="str">
        <f aca="false">IF(OR(E87="",G87=""),"",E87*G87)</f>
        <v/>
      </c>
      <c r="J87" s="23" t="str">
        <f aca="false">IF(OR(E87="",F87="",G87=""),"",MAX(0,IF(H87="",(F87-E87)*G87,H87-E87*G87)))</f>
        <v/>
      </c>
      <c r="K87" s="5" t="str">
        <f aca="false">IF(D87="","",EDATE(D87,60))</f>
        <v/>
      </c>
      <c r="L87" s="24" t="str">
        <f aca="false">IF(K87="","",K87-Config!$B$6)</f>
        <v/>
      </c>
      <c r="M87" s="25" t="str">
        <f aca="false">IF(L87="","",IF(L87&lt;0,"PRESCRITO",IF(L87&lt;180,"URGENTE","OK")))</f>
        <v/>
      </c>
      <c r="N87" s="25" t="str">
        <f aca="false">IF(OR(D87="",J87=""),"",IF(M87="PRESCRITO","NÃO",IF(J87&gt;=Config!$B$4,"SIM","AVALIAR")))</f>
        <v/>
      </c>
      <c r="O87" s="23" t="str">
        <f aca="false">IF(N87="SIM",J87*Config!$B$5,"")</f>
        <v/>
      </c>
      <c r="P87" s="19"/>
    </row>
    <row r="88" customFormat="false" ht="15" hidden="false" customHeight="false" outlineLevel="0" collapsed="false">
      <c r="A88" s="11"/>
      <c r="B88" s="11"/>
      <c r="C88" s="11"/>
      <c r="D88" s="12"/>
      <c r="E88" s="13"/>
      <c r="F88" s="13"/>
      <c r="G88" s="14"/>
      <c r="H88" s="13"/>
      <c r="I88" s="15" t="str">
        <f aca="false">IF(OR(E88="",G88=""),"",E88*G88)</f>
        <v/>
      </c>
      <c r="J88" s="15" t="str">
        <f aca="false">IF(OR(E88="",F88="",G88=""),"",MAX(0,IF(H88="",(F88-E88)*G88,H88-E88*G88)))</f>
        <v/>
      </c>
      <c r="K88" s="16" t="str">
        <f aca="false">IF(D88="","",EDATE(D88,60))</f>
        <v/>
      </c>
      <c r="L88" s="17" t="str">
        <f aca="false">IF(K88="","",K88-Config!$B$6)</f>
        <v/>
      </c>
      <c r="M88" s="18" t="str">
        <f aca="false">IF(L88="","",IF(L88&lt;0,"PRESCRITO",IF(L88&lt;180,"URGENTE","OK")))</f>
        <v/>
      </c>
      <c r="N88" s="18" t="str">
        <f aca="false">IF(OR(D88="",J88=""),"",IF(M88="PRESCRITO","NÃO",IF(J88&gt;=Config!$B$4,"SIM","AVALIAR")))</f>
        <v/>
      </c>
      <c r="O88" s="15" t="str">
        <f aca="false">IF(N88="SIM",J88*Config!$B$5,"")</f>
        <v/>
      </c>
      <c r="P88" s="11"/>
    </row>
    <row r="89" customFormat="false" ht="15" hidden="false" customHeight="false" outlineLevel="0" collapsed="false">
      <c r="A89" s="19"/>
      <c r="B89" s="19"/>
      <c r="C89" s="19"/>
      <c r="D89" s="20"/>
      <c r="E89" s="21"/>
      <c r="F89" s="21"/>
      <c r="G89" s="22"/>
      <c r="H89" s="21"/>
      <c r="I89" s="23" t="str">
        <f aca="false">IF(OR(E89="",G89=""),"",E89*G89)</f>
        <v/>
      </c>
      <c r="J89" s="23" t="str">
        <f aca="false">IF(OR(E89="",F89="",G89=""),"",MAX(0,IF(H89="",(F89-E89)*G89,H89-E89*G89)))</f>
        <v/>
      </c>
      <c r="K89" s="5" t="str">
        <f aca="false">IF(D89="","",EDATE(D89,60))</f>
        <v/>
      </c>
      <c r="L89" s="24" t="str">
        <f aca="false">IF(K89="","",K89-Config!$B$6)</f>
        <v/>
      </c>
      <c r="M89" s="25" t="str">
        <f aca="false">IF(L89="","",IF(L89&lt;0,"PRESCRITO",IF(L89&lt;180,"URGENTE","OK")))</f>
        <v/>
      </c>
      <c r="N89" s="25" t="str">
        <f aca="false">IF(OR(D89="",J89=""),"",IF(M89="PRESCRITO","NÃO",IF(J89&gt;=Config!$B$4,"SIM","AVALIAR")))</f>
        <v/>
      </c>
      <c r="O89" s="23" t="str">
        <f aca="false">IF(N89="SIM",J89*Config!$B$5,"")</f>
        <v/>
      </c>
      <c r="P89" s="19"/>
    </row>
    <row r="90" customFormat="false" ht="15" hidden="false" customHeight="false" outlineLevel="0" collapsed="false">
      <c r="A90" s="11"/>
      <c r="B90" s="11"/>
      <c r="C90" s="11"/>
      <c r="D90" s="12"/>
      <c r="E90" s="13"/>
      <c r="F90" s="13"/>
      <c r="G90" s="14"/>
      <c r="H90" s="13"/>
      <c r="I90" s="15" t="str">
        <f aca="false">IF(OR(E90="",G90=""),"",E90*G90)</f>
        <v/>
      </c>
      <c r="J90" s="15" t="str">
        <f aca="false">IF(OR(E90="",F90="",G90=""),"",MAX(0,IF(H90="",(F90-E90)*G90,H90-E90*G90)))</f>
        <v/>
      </c>
      <c r="K90" s="16" t="str">
        <f aca="false">IF(D90="","",EDATE(D90,60))</f>
        <v/>
      </c>
      <c r="L90" s="17" t="str">
        <f aca="false">IF(K90="","",K90-Config!$B$6)</f>
        <v/>
      </c>
      <c r="M90" s="18" t="str">
        <f aca="false">IF(L90="","",IF(L90&lt;0,"PRESCRITO",IF(L90&lt;180,"URGENTE","OK")))</f>
        <v/>
      </c>
      <c r="N90" s="18" t="str">
        <f aca="false">IF(OR(D90="",J90=""),"",IF(M90="PRESCRITO","NÃO",IF(J90&gt;=Config!$B$4,"SIM","AVALIAR")))</f>
        <v/>
      </c>
      <c r="O90" s="15" t="str">
        <f aca="false">IF(N90="SIM",J90*Config!$B$5,"")</f>
        <v/>
      </c>
      <c r="P90" s="11"/>
    </row>
    <row r="91" customFormat="false" ht="15" hidden="false" customHeight="false" outlineLevel="0" collapsed="false">
      <c r="A91" s="19"/>
      <c r="B91" s="19"/>
      <c r="C91" s="19"/>
      <c r="D91" s="20"/>
      <c r="E91" s="21"/>
      <c r="F91" s="21"/>
      <c r="G91" s="22"/>
      <c r="H91" s="21"/>
      <c r="I91" s="23" t="str">
        <f aca="false">IF(OR(E91="",G91=""),"",E91*G91)</f>
        <v/>
      </c>
      <c r="J91" s="23" t="str">
        <f aca="false">IF(OR(E91="",F91="",G91=""),"",MAX(0,IF(H91="",(F91-E91)*G91,H91-E91*G91)))</f>
        <v/>
      </c>
      <c r="K91" s="5" t="str">
        <f aca="false">IF(D91="","",EDATE(D91,60))</f>
        <v/>
      </c>
      <c r="L91" s="24" t="str">
        <f aca="false">IF(K91="","",K91-Config!$B$6)</f>
        <v/>
      </c>
      <c r="M91" s="25" t="str">
        <f aca="false">IF(L91="","",IF(L91&lt;0,"PRESCRITO",IF(L91&lt;180,"URGENTE","OK")))</f>
        <v/>
      </c>
      <c r="N91" s="25" t="str">
        <f aca="false">IF(OR(D91="",J91=""),"",IF(M91="PRESCRITO","NÃO",IF(J91&gt;=Config!$B$4,"SIM","AVALIAR")))</f>
        <v/>
      </c>
      <c r="O91" s="23" t="str">
        <f aca="false">IF(N91="SIM",J91*Config!$B$5,"")</f>
        <v/>
      </c>
      <c r="P91" s="19"/>
    </row>
    <row r="92" customFormat="false" ht="15" hidden="false" customHeight="false" outlineLevel="0" collapsed="false">
      <c r="A92" s="11"/>
      <c r="B92" s="11"/>
      <c r="C92" s="11"/>
      <c r="D92" s="12"/>
      <c r="E92" s="13"/>
      <c r="F92" s="13"/>
      <c r="G92" s="14"/>
      <c r="H92" s="13"/>
      <c r="I92" s="15" t="str">
        <f aca="false">IF(OR(E92="",G92=""),"",E92*G92)</f>
        <v/>
      </c>
      <c r="J92" s="15" t="str">
        <f aca="false">IF(OR(E92="",F92="",G92=""),"",MAX(0,IF(H92="",(F92-E92)*G92,H92-E92*G92)))</f>
        <v/>
      </c>
      <c r="K92" s="16" t="str">
        <f aca="false">IF(D92="","",EDATE(D92,60))</f>
        <v/>
      </c>
      <c r="L92" s="17" t="str">
        <f aca="false">IF(K92="","",K92-Config!$B$6)</f>
        <v/>
      </c>
      <c r="M92" s="18" t="str">
        <f aca="false">IF(L92="","",IF(L92&lt;0,"PRESCRITO",IF(L92&lt;180,"URGENTE","OK")))</f>
        <v/>
      </c>
      <c r="N92" s="18" t="str">
        <f aca="false">IF(OR(D92="",J92=""),"",IF(M92="PRESCRITO","NÃO",IF(J92&gt;=Config!$B$4,"SIM","AVALIAR")))</f>
        <v/>
      </c>
      <c r="O92" s="15" t="str">
        <f aca="false">IF(N92="SIM",J92*Config!$B$5,"")</f>
        <v/>
      </c>
      <c r="P92" s="11"/>
    </row>
    <row r="93" customFormat="false" ht="15" hidden="false" customHeight="false" outlineLevel="0" collapsed="false">
      <c r="A93" s="19"/>
      <c r="B93" s="19"/>
      <c r="C93" s="19"/>
      <c r="D93" s="20"/>
      <c r="E93" s="21"/>
      <c r="F93" s="21"/>
      <c r="G93" s="22"/>
      <c r="H93" s="21"/>
      <c r="I93" s="23" t="str">
        <f aca="false">IF(OR(E93="",G93=""),"",E93*G93)</f>
        <v/>
      </c>
      <c r="J93" s="23" t="str">
        <f aca="false">IF(OR(E93="",F93="",G93=""),"",MAX(0,IF(H93="",(F93-E93)*G93,H93-E93*G93)))</f>
        <v/>
      </c>
      <c r="K93" s="5" t="str">
        <f aca="false">IF(D93="","",EDATE(D93,60))</f>
        <v/>
      </c>
      <c r="L93" s="24" t="str">
        <f aca="false">IF(K93="","",K93-Config!$B$6)</f>
        <v/>
      </c>
      <c r="M93" s="25" t="str">
        <f aca="false">IF(L93="","",IF(L93&lt;0,"PRESCRITO",IF(L93&lt;180,"URGENTE","OK")))</f>
        <v/>
      </c>
      <c r="N93" s="25" t="str">
        <f aca="false">IF(OR(D93="",J93=""),"",IF(M93="PRESCRITO","NÃO",IF(J93&gt;=Config!$B$4,"SIM","AVALIAR")))</f>
        <v/>
      </c>
      <c r="O93" s="23" t="str">
        <f aca="false">IF(N93="SIM",J93*Config!$B$5,"")</f>
        <v/>
      </c>
      <c r="P93" s="19"/>
    </row>
    <row r="94" customFormat="false" ht="15" hidden="false" customHeight="false" outlineLevel="0" collapsed="false">
      <c r="A94" s="11"/>
      <c r="B94" s="11"/>
      <c r="C94" s="11"/>
      <c r="D94" s="12"/>
      <c r="E94" s="13"/>
      <c r="F94" s="13"/>
      <c r="G94" s="14"/>
      <c r="H94" s="13"/>
      <c r="I94" s="15" t="str">
        <f aca="false">IF(OR(E94="",G94=""),"",E94*G94)</f>
        <v/>
      </c>
      <c r="J94" s="15" t="str">
        <f aca="false">IF(OR(E94="",F94="",G94=""),"",MAX(0,IF(H94="",(F94-E94)*G94,H94-E94*G94)))</f>
        <v/>
      </c>
      <c r="K94" s="16" t="str">
        <f aca="false">IF(D94="","",EDATE(D94,60))</f>
        <v/>
      </c>
      <c r="L94" s="17" t="str">
        <f aca="false">IF(K94="","",K94-Config!$B$6)</f>
        <v/>
      </c>
      <c r="M94" s="18" t="str">
        <f aca="false">IF(L94="","",IF(L94&lt;0,"PRESCRITO",IF(L94&lt;180,"URGENTE","OK")))</f>
        <v/>
      </c>
      <c r="N94" s="18" t="str">
        <f aca="false">IF(OR(D94="",J94=""),"",IF(M94="PRESCRITO","NÃO",IF(J94&gt;=Config!$B$4,"SIM","AVALIAR")))</f>
        <v/>
      </c>
      <c r="O94" s="15" t="str">
        <f aca="false">IF(N94="SIM",J94*Config!$B$5,"")</f>
        <v/>
      </c>
      <c r="P94" s="11"/>
    </row>
    <row r="95" customFormat="false" ht="15" hidden="false" customHeight="false" outlineLevel="0" collapsed="false">
      <c r="A95" s="19"/>
      <c r="B95" s="19"/>
      <c r="C95" s="19"/>
      <c r="D95" s="20"/>
      <c r="E95" s="21"/>
      <c r="F95" s="21"/>
      <c r="G95" s="22"/>
      <c r="H95" s="21"/>
      <c r="I95" s="23" t="str">
        <f aca="false">IF(OR(E95="",G95=""),"",E95*G95)</f>
        <v/>
      </c>
      <c r="J95" s="23" t="str">
        <f aca="false">IF(OR(E95="",F95="",G95=""),"",MAX(0,IF(H95="",(F95-E95)*G95,H95-E95*G95)))</f>
        <v/>
      </c>
      <c r="K95" s="5" t="str">
        <f aca="false">IF(D95="","",EDATE(D95,60))</f>
        <v/>
      </c>
      <c r="L95" s="24" t="str">
        <f aca="false">IF(K95="","",K95-Config!$B$6)</f>
        <v/>
      </c>
      <c r="M95" s="25" t="str">
        <f aca="false">IF(L95="","",IF(L95&lt;0,"PRESCRITO",IF(L95&lt;180,"URGENTE","OK")))</f>
        <v/>
      </c>
      <c r="N95" s="25" t="str">
        <f aca="false">IF(OR(D95="",J95=""),"",IF(M95="PRESCRITO","NÃO",IF(J95&gt;=Config!$B$4,"SIM","AVALIAR")))</f>
        <v/>
      </c>
      <c r="O95" s="23" t="str">
        <f aca="false">IF(N95="SIM",J95*Config!$B$5,"")</f>
        <v/>
      </c>
      <c r="P95" s="19"/>
    </row>
    <row r="96" customFormat="false" ht="15" hidden="false" customHeight="false" outlineLevel="0" collapsed="false">
      <c r="A96" s="11"/>
      <c r="B96" s="11"/>
      <c r="C96" s="11"/>
      <c r="D96" s="12"/>
      <c r="E96" s="13"/>
      <c r="F96" s="13"/>
      <c r="G96" s="14"/>
      <c r="H96" s="13"/>
      <c r="I96" s="15" t="str">
        <f aca="false">IF(OR(E96="",G96=""),"",E96*G96)</f>
        <v/>
      </c>
      <c r="J96" s="15" t="str">
        <f aca="false">IF(OR(E96="",F96="",G96=""),"",MAX(0,IF(H96="",(F96-E96)*G96,H96-E96*G96)))</f>
        <v/>
      </c>
      <c r="K96" s="16" t="str">
        <f aca="false">IF(D96="","",EDATE(D96,60))</f>
        <v/>
      </c>
      <c r="L96" s="17" t="str">
        <f aca="false">IF(K96="","",K96-Config!$B$6)</f>
        <v/>
      </c>
      <c r="M96" s="18" t="str">
        <f aca="false">IF(L96="","",IF(L96&lt;0,"PRESCRITO",IF(L96&lt;180,"URGENTE","OK")))</f>
        <v/>
      </c>
      <c r="N96" s="18" t="str">
        <f aca="false">IF(OR(D96="",J96=""),"",IF(M96="PRESCRITO","NÃO",IF(J96&gt;=Config!$B$4,"SIM","AVALIAR")))</f>
        <v/>
      </c>
      <c r="O96" s="15" t="str">
        <f aca="false">IF(N96="SIM",J96*Config!$B$5,"")</f>
        <v/>
      </c>
      <c r="P96" s="11"/>
    </row>
    <row r="97" customFormat="false" ht="15" hidden="false" customHeight="false" outlineLevel="0" collapsed="false">
      <c r="A97" s="19"/>
      <c r="B97" s="19"/>
      <c r="C97" s="19"/>
      <c r="D97" s="20"/>
      <c r="E97" s="21"/>
      <c r="F97" s="21"/>
      <c r="G97" s="22"/>
      <c r="H97" s="21"/>
      <c r="I97" s="23" t="str">
        <f aca="false">IF(OR(E97="",G97=""),"",E97*G97)</f>
        <v/>
      </c>
      <c r="J97" s="23" t="str">
        <f aca="false">IF(OR(E97="",F97="",G97=""),"",MAX(0,IF(H97="",(F97-E97)*G97,H97-E97*G97)))</f>
        <v/>
      </c>
      <c r="K97" s="5" t="str">
        <f aca="false">IF(D97="","",EDATE(D97,60))</f>
        <v/>
      </c>
      <c r="L97" s="24" t="str">
        <f aca="false">IF(K97="","",K97-Config!$B$6)</f>
        <v/>
      </c>
      <c r="M97" s="25" t="str">
        <f aca="false">IF(L97="","",IF(L97&lt;0,"PRESCRITO",IF(L97&lt;180,"URGENTE","OK")))</f>
        <v/>
      </c>
      <c r="N97" s="25" t="str">
        <f aca="false">IF(OR(D97="",J97=""),"",IF(M97="PRESCRITO","NÃO",IF(J97&gt;=Config!$B$4,"SIM","AVALIAR")))</f>
        <v/>
      </c>
      <c r="O97" s="23" t="str">
        <f aca="false">IF(N97="SIM",J97*Config!$B$5,"")</f>
        <v/>
      </c>
      <c r="P97" s="19"/>
    </row>
    <row r="98" customFormat="false" ht="15" hidden="false" customHeight="false" outlineLevel="0" collapsed="false">
      <c r="A98" s="11"/>
      <c r="B98" s="11"/>
      <c r="C98" s="11"/>
      <c r="D98" s="12"/>
      <c r="E98" s="13"/>
      <c r="F98" s="13"/>
      <c r="G98" s="14"/>
      <c r="H98" s="13"/>
      <c r="I98" s="15" t="str">
        <f aca="false">IF(OR(E98="",G98=""),"",E98*G98)</f>
        <v/>
      </c>
      <c r="J98" s="15" t="str">
        <f aca="false">IF(OR(E98="",F98="",G98=""),"",MAX(0,IF(H98="",(F98-E98)*G98,H98-E98*G98)))</f>
        <v/>
      </c>
      <c r="K98" s="16" t="str">
        <f aca="false">IF(D98="","",EDATE(D98,60))</f>
        <v/>
      </c>
      <c r="L98" s="17" t="str">
        <f aca="false">IF(K98="","",K98-Config!$B$6)</f>
        <v/>
      </c>
      <c r="M98" s="18" t="str">
        <f aca="false">IF(L98="","",IF(L98&lt;0,"PRESCRITO",IF(L98&lt;180,"URGENTE","OK")))</f>
        <v/>
      </c>
      <c r="N98" s="18" t="str">
        <f aca="false">IF(OR(D98="",J98=""),"",IF(M98="PRESCRITO","NÃO",IF(J98&gt;=Config!$B$4,"SIM","AVALIAR")))</f>
        <v/>
      </c>
      <c r="O98" s="15" t="str">
        <f aca="false">IF(N98="SIM",J98*Config!$B$5,"")</f>
        <v/>
      </c>
      <c r="P98" s="11"/>
    </row>
    <row r="99" customFormat="false" ht="15" hidden="false" customHeight="false" outlineLevel="0" collapsed="false">
      <c r="A99" s="19"/>
      <c r="B99" s="19"/>
      <c r="C99" s="19"/>
      <c r="D99" s="20"/>
      <c r="E99" s="21"/>
      <c r="F99" s="21"/>
      <c r="G99" s="22"/>
      <c r="H99" s="21"/>
      <c r="I99" s="23" t="str">
        <f aca="false">IF(OR(E99="",G99=""),"",E99*G99)</f>
        <v/>
      </c>
      <c r="J99" s="23" t="str">
        <f aca="false">IF(OR(E99="",F99="",G99=""),"",MAX(0,IF(H99="",(F99-E99)*G99,H99-E99*G99)))</f>
        <v/>
      </c>
      <c r="K99" s="5" t="str">
        <f aca="false">IF(D99="","",EDATE(D99,60))</f>
        <v/>
      </c>
      <c r="L99" s="24" t="str">
        <f aca="false">IF(K99="","",K99-Config!$B$6)</f>
        <v/>
      </c>
      <c r="M99" s="25" t="str">
        <f aca="false">IF(L99="","",IF(L99&lt;0,"PRESCRITO",IF(L99&lt;180,"URGENTE","OK")))</f>
        <v/>
      </c>
      <c r="N99" s="25" t="str">
        <f aca="false">IF(OR(D99="",J99=""),"",IF(M99="PRESCRITO","NÃO",IF(J99&gt;=Config!$B$4,"SIM","AVALIAR")))</f>
        <v/>
      </c>
      <c r="O99" s="23" t="str">
        <f aca="false">IF(N99="SIM",J99*Config!$B$5,"")</f>
        <v/>
      </c>
      <c r="P99" s="19"/>
    </row>
    <row r="100" customFormat="false" ht="15" hidden="false" customHeight="false" outlineLevel="0" collapsed="false">
      <c r="A100" s="11"/>
      <c r="B100" s="11"/>
      <c r="C100" s="11"/>
      <c r="D100" s="12"/>
      <c r="E100" s="13"/>
      <c r="F100" s="13"/>
      <c r="G100" s="14"/>
      <c r="H100" s="13"/>
      <c r="I100" s="15" t="str">
        <f aca="false">IF(OR(E100="",G100=""),"",E100*G100)</f>
        <v/>
      </c>
      <c r="J100" s="15" t="str">
        <f aca="false">IF(OR(E100="",F100="",G100=""),"",MAX(0,IF(H100="",(F100-E100)*G100,H100-E100*G100)))</f>
        <v/>
      </c>
      <c r="K100" s="16" t="str">
        <f aca="false">IF(D100="","",EDATE(D100,60))</f>
        <v/>
      </c>
      <c r="L100" s="17" t="str">
        <f aca="false">IF(K100="","",K100-Config!$B$6)</f>
        <v/>
      </c>
      <c r="M100" s="18" t="str">
        <f aca="false">IF(L100="","",IF(L100&lt;0,"PRESCRITO",IF(L100&lt;180,"URGENTE","OK")))</f>
        <v/>
      </c>
      <c r="N100" s="18" t="str">
        <f aca="false">IF(OR(D100="",J100=""),"",IF(M100="PRESCRITO","NÃO",IF(J100&gt;=Config!$B$4,"SIM","AVALIAR")))</f>
        <v/>
      </c>
      <c r="O100" s="15" t="str">
        <f aca="false">IF(N100="SIM",J100*Config!$B$5,"")</f>
        <v/>
      </c>
      <c r="P100" s="11"/>
    </row>
    <row r="101" customFormat="false" ht="15" hidden="false" customHeight="false" outlineLevel="0" collapsed="false">
      <c r="A101" s="19"/>
      <c r="B101" s="19"/>
      <c r="C101" s="19"/>
      <c r="D101" s="20"/>
      <c r="E101" s="21"/>
      <c r="F101" s="21"/>
      <c r="G101" s="22"/>
      <c r="H101" s="21"/>
      <c r="I101" s="23" t="str">
        <f aca="false">IF(OR(E101="",G101=""),"",E101*G101)</f>
        <v/>
      </c>
      <c r="J101" s="23" t="str">
        <f aca="false">IF(OR(E101="",F101="",G101=""),"",MAX(0,IF(H101="",(F101-E101)*G101,H101-E101*G101)))</f>
        <v/>
      </c>
      <c r="K101" s="5" t="str">
        <f aca="false">IF(D101="","",EDATE(D101,60))</f>
        <v/>
      </c>
      <c r="L101" s="24" t="str">
        <f aca="false">IF(K101="","",K101-Config!$B$6)</f>
        <v/>
      </c>
      <c r="M101" s="25" t="str">
        <f aca="false">IF(L101="","",IF(L101&lt;0,"PRESCRITO",IF(L101&lt;180,"URGENTE","OK")))</f>
        <v/>
      </c>
      <c r="N101" s="25" t="str">
        <f aca="false">IF(OR(D101="",J101=""),"",IF(M101="PRESCRITO","NÃO",IF(J101&gt;=Config!$B$4,"SIM","AVALIAR")))</f>
        <v/>
      </c>
      <c r="O101" s="23" t="str">
        <f aca="false">IF(N101="SIM",J101*Config!$B$5,"")</f>
        <v/>
      </c>
      <c r="P101" s="19"/>
    </row>
    <row r="102" customFormat="false" ht="15" hidden="false" customHeight="false" outlineLevel="0" collapsed="false">
      <c r="A102" s="11"/>
      <c r="B102" s="11"/>
      <c r="C102" s="11"/>
      <c r="D102" s="12"/>
      <c r="E102" s="13"/>
      <c r="F102" s="13"/>
      <c r="G102" s="14"/>
      <c r="H102" s="13"/>
      <c r="I102" s="15" t="str">
        <f aca="false">IF(OR(E102="",G102=""),"",E102*G102)</f>
        <v/>
      </c>
      <c r="J102" s="15" t="str">
        <f aca="false">IF(OR(E102="",F102="",G102=""),"",MAX(0,IF(H102="",(F102-E102)*G102,H102-E102*G102)))</f>
        <v/>
      </c>
      <c r="K102" s="16" t="str">
        <f aca="false">IF(D102="","",EDATE(D102,60))</f>
        <v/>
      </c>
      <c r="L102" s="17" t="str">
        <f aca="false">IF(K102="","",K102-Config!$B$6)</f>
        <v/>
      </c>
      <c r="M102" s="18" t="str">
        <f aca="false">IF(L102="","",IF(L102&lt;0,"PRESCRITO",IF(L102&lt;180,"URGENTE","OK")))</f>
        <v/>
      </c>
      <c r="N102" s="18" t="str">
        <f aca="false">IF(OR(D102="",J102=""),"",IF(M102="PRESCRITO","NÃO",IF(J102&gt;=Config!$B$4,"SIM","AVALIAR")))</f>
        <v/>
      </c>
      <c r="O102" s="15" t="str">
        <f aca="false">IF(N102="SIM",J102*Config!$B$5,"")</f>
        <v/>
      </c>
      <c r="P102" s="11"/>
    </row>
    <row r="103" customFormat="false" ht="15" hidden="false" customHeight="false" outlineLevel="0" collapsed="false">
      <c r="A103" s="19"/>
      <c r="B103" s="19"/>
      <c r="C103" s="19"/>
      <c r="D103" s="20"/>
      <c r="E103" s="21"/>
      <c r="F103" s="21"/>
      <c r="G103" s="22"/>
      <c r="H103" s="21"/>
      <c r="I103" s="23" t="str">
        <f aca="false">IF(OR(E103="",G103=""),"",E103*G103)</f>
        <v/>
      </c>
      <c r="J103" s="23" t="str">
        <f aca="false">IF(OR(E103="",F103="",G103=""),"",MAX(0,IF(H103="",(F103-E103)*G103,H103-E103*G103)))</f>
        <v/>
      </c>
      <c r="K103" s="5" t="str">
        <f aca="false">IF(D103="","",EDATE(D103,60))</f>
        <v/>
      </c>
      <c r="L103" s="24" t="str">
        <f aca="false">IF(K103="","",K103-Config!$B$6)</f>
        <v/>
      </c>
      <c r="M103" s="25" t="str">
        <f aca="false">IF(L103="","",IF(L103&lt;0,"PRESCRITO",IF(L103&lt;180,"URGENTE","OK")))</f>
        <v/>
      </c>
      <c r="N103" s="25" t="str">
        <f aca="false">IF(OR(D103="",J103=""),"",IF(M103="PRESCRITO","NÃO",IF(J103&gt;=Config!$B$4,"SIM","AVALIAR")))</f>
        <v/>
      </c>
      <c r="O103" s="23" t="str">
        <f aca="false">IF(N103="SIM",J103*Config!$B$5,"")</f>
        <v/>
      </c>
      <c r="P10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2026-07-19T00:54:07Z</dcterms:created>
  <dc:creator>openpyxl</dc:creator>
  <dc:description/>
  <dc:language>en-US</dc:language>
  <cp:lastModifiedBy/>
  <dcterms:modified xsi:type="dcterms:W3CDTF">2026-07-19T00:54:07Z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