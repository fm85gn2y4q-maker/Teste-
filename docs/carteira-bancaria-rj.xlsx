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Listas" sheetId="2" state="hidden" r:id="rId2"/>
    <sheet name="Clientes" sheetId="3" state="visible" r:id="rId3"/>
    <sheet name="Carteira" sheetId="4" state="visible" r:id="rId4"/>
    <sheet name="Painel" sheetId="5" state="visible" r:id="rId5"/>
    <sheet name="Taxas BAC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yyyy"/>
  </numFmts>
  <fonts count="6">
    <font>
      <name val="Calibri"/>
      <family val="2"/>
      <color theme="1"/>
      <sz val="11"/>
      <scheme val="minor"/>
    </font>
    <font>
      <b val="1"/>
      <color rgb="0024384E"/>
      <sz val="14"/>
    </font>
    <font>
      <color rgb="00565B66"/>
      <sz val="10"/>
    </font>
    <font>
      <b val="1"/>
    </font>
    <font>
      <b val="1"/>
      <color rgb="00FFFFFF"/>
      <sz val="10"/>
    </font>
    <font>
      <b val="1"/>
      <color rgb="008F6F1F"/>
    </font>
  </fonts>
  <fills count="3">
    <fill>
      <patternFill/>
    </fill>
    <fill>
      <patternFill patternType="gray125"/>
    </fill>
    <fill>
      <patternFill patternType="solid">
        <fgColor rgb="002438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CARTEIRA BANCÁRIA RJ — Planilha de triagem e gestão de ações</t>
        </is>
      </c>
    </row>
    <row r="2">
      <c r="A2" s="2" t="inlineStr">
        <is>
          <t>Companheira do Analisador de Teses (analisador-teses-rj.html). Data-base: julho/2026.</t>
        </is>
      </c>
    </row>
    <row r="3">
      <c r="A3" s="3" t="inlineStr"/>
    </row>
    <row r="4">
      <c r="A4" s="4" t="inlineStr">
        <is>
          <t>COMO USAR NO GOOGLE SHEETS (recomendado):</t>
        </is>
      </c>
    </row>
    <row r="5">
      <c r="A5" s="3" t="inlineStr">
        <is>
          <t>1. No Google Drive: Novo &gt; Upload de arquivo &gt; selecione este .xlsx.</t>
        </is>
      </c>
    </row>
    <row r="6">
      <c r="A6" s="3" t="inlineStr">
        <is>
          <t>2. Abra o arquivo e clique em Arquivo &gt; Salvar como Planilha Google.</t>
        </is>
      </c>
    </row>
    <row r="7">
      <c r="A7" s="3" t="inlineStr">
        <is>
          <t>3. A aba 'Taxas BACEN' passa a atualizar sozinha (IMPORTDATA) — no Excel ela não funciona.</t>
        </is>
      </c>
    </row>
    <row r="8">
      <c r="A8" s="3" t="inlineStr"/>
    </row>
    <row r="9">
      <c r="A9" s="4" t="inlineStr">
        <is>
          <t>FLUXO DE TRABALHO:</t>
        </is>
      </c>
    </row>
    <row r="10">
      <c r="A10" s="3" t="inlineStr">
        <is>
          <t>1. Cadastre o cliente na aba CLIENTES (checklists de gratuidade e blindagem embutidos).</t>
        </is>
      </c>
    </row>
    <row r="11">
      <c r="A11" s="3" t="inlineStr">
        <is>
          <t>2. Rode a análise da tese no Analisador (HTML) — se VIÁVEL, lance uma linha na aba CARTEIRA.</t>
        </is>
      </c>
    </row>
    <row r="12">
      <c r="A12" s="3" t="inlineStr">
        <is>
          <t>3. A CARTEIRA calcula sozinha: parcelas simples (até 03/2021) × em dobro (após), compensação,</t>
        </is>
      </c>
    </row>
    <row r="13">
      <c r="A13" s="3" t="inlineStr">
        <is>
          <t xml:space="preserve">   proveito líquido, honorários contratuais e sucumbência (só vara cível). Prescrição decenal: </t>
        </is>
      </c>
    </row>
    <row r="14">
      <c r="A14" s="3" t="inlineStr">
        <is>
          <t xml:space="preserve">   a coluna AVISO acende se o 1º desconto tiver mais de 10 anos.</t>
        </is>
      </c>
    </row>
    <row r="15">
      <c r="A15" s="3" t="inlineStr">
        <is>
          <t>4. O PAINEL consolida tudo por status e por tese (funil e projeção de honorários).</t>
        </is>
      </c>
    </row>
    <row r="16">
      <c r="A16" s="3" t="inlineStr"/>
    </row>
    <row r="17">
      <c r="A17" s="4" t="inlineStr">
        <is>
          <t>REGRAS JURÍDICAS EMBUTIDAS NAS FÓRMULAS:</t>
        </is>
      </c>
    </row>
    <row r="18">
      <c r="A18" s="3" t="inlineStr">
        <is>
          <t>• Marco da restituição em dobro: 30/03/2021 (STJ, EAREsp 676.608/RS). Antes: simples; depois: dobro.</t>
        </is>
      </c>
    </row>
    <row r="19">
      <c r="A19" s="3" t="inlineStr">
        <is>
          <t>• Compensação de valores creditados na conta é abatida (praxe TJRJ, art. 368 CC).</t>
        </is>
      </c>
    </row>
    <row r="20">
      <c r="A20" s="3" t="inlineStr">
        <is>
          <t>• Sucumbência estimada em 15% apenas quando Foro = Vara Cível (JEC não tem no 1º grau).</t>
        </is>
      </c>
    </row>
    <row r="21">
      <c r="A21" s="3" t="inlineStr">
        <is>
          <t>• Dano moral: faixas praticadas pelo TJRJ (R$ 4–15 mil) — selecione no dropdown.</t>
        </is>
      </c>
    </row>
    <row r="22">
      <c r="A22" s="3" t="inlineStr"/>
    </row>
    <row r="23">
      <c r="A23" s="4" t="inlineStr">
        <is>
          <t>APIS / FONTES EXTERNAS:</t>
        </is>
      </c>
    </row>
    <row r="24">
      <c r="A24" s="3" t="inlineStr">
        <is>
          <t>• BACEN/SGS (aba Taxas BACEN): taxa média de mercado p/ Teses 5 e 6 — valide a série da modalidade</t>
        </is>
      </c>
    </row>
    <row r="25">
      <c r="A25" s="3" t="inlineStr">
        <is>
          <t xml:space="preserve">  em bcb.gov.br/estatisticas/txjuros e anexe print à inicial.</t>
        </is>
      </c>
    </row>
    <row r="26">
      <c r="A26" s="3" t="inlineStr">
        <is>
          <t>• Meu INSS (HISCRE + Extrato de Pagamento) e Registrato/BCB: acesso com gov.br do cliente (sem API pública).</t>
        </is>
      </c>
    </row>
    <row r="27">
      <c r="A27" s="3" t="inlineStr">
        <is>
          <t>• SUSEP/SAFE: apólices do cliente (Tese 2) — gov.br/susep.</t>
        </is>
      </c>
    </row>
    <row r="28">
      <c r="A28" s="3" t="inlineStr">
        <is>
          <t>• DataJud/CNJ: consulta processual pública por nº CNJ (integração futura).</t>
        </is>
      </c>
    </row>
    <row r="29">
      <c r="A29" s="3" t="inlineStr"/>
    </row>
    <row r="30">
      <c r="A30" s="2" t="inlineStr">
        <is>
          <t>Este arquivo é ferramenta de apoio; a decisão de ajuizar é ato privativo do advogado responsável.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 Consignado fraudado</t>
        </is>
      </c>
      <c r="B1" t="inlineStr">
        <is>
          <t>Vara Cível</t>
        </is>
      </c>
      <c r="C1" t="inlineStr">
        <is>
          <t>Triagem</t>
        </is>
      </c>
      <c r="D1" t="n">
        <v>0</v>
      </c>
      <c r="E1" t="inlineStr">
        <is>
          <t>SIM</t>
        </is>
      </c>
    </row>
    <row r="2">
      <c r="A2" t="inlineStr">
        <is>
          <t>T2 Prestamista</t>
        </is>
      </c>
      <c r="B2" t="inlineStr">
        <is>
          <t>JEC</t>
        </is>
      </c>
      <c r="C2" t="inlineStr">
        <is>
          <t>Docs pendentes</t>
        </is>
      </c>
      <c r="D2" t="n">
        <v>4000</v>
      </c>
      <c r="E2" t="inlineStr">
        <is>
          <t>NÃO</t>
        </is>
      </c>
    </row>
    <row r="3">
      <c r="A3" t="inlineStr">
        <is>
          <t>T3 RMC/RCC nulidade</t>
        </is>
      </c>
      <c r="C3" t="inlineStr">
        <is>
          <t>Req. administrativo</t>
        </is>
      </c>
      <c r="D3" t="n">
        <v>5000</v>
      </c>
    </row>
    <row r="4">
      <c r="A4" t="inlineStr">
        <is>
          <t>T4 Conversão RMC/RCC</t>
        </is>
      </c>
      <c r="C4" t="inlineStr">
        <is>
          <t>Pronta p/ ajuizar</t>
        </is>
      </c>
      <c r="D4" t="n">
        <v>8000</v>
      </c>
    </row>
    <row r="5">
      <c r="A5" t="inlineStr">
        <is>
          <t>T5 Juros pessoais</t>
        </is>
      </c>
      <c r="C5" t="inlineStr">
        <is>
          <t>Ajuizada</t>
        </is>
      </c>
      <c r="D5" t="n">
        <v>10000</v>
      </c>
    </row>
    <row r="6">
      <c r="A6" t="inlineStr">
        <is>
          <t>T6 Financ. veículo</t>
        </is>
      </c>
      <c r="C6" t="inlineStr">
        <is>
          <t>Liminar deferida</t>
        </is>
      </c>
      <c r="D6" t="n">
        <v>15000</v>
      </c>
    </row>
    <row r="7">
      <c r="A7" t="inlineStr">
        <is>
          <t>T7 Descontos em conta</t>
        </is>
      </c>
      <c r="C7" t="inlineStr">
        <is>
          <t>Contestada</t>
        </is>
      </c>
    </row>
    <row r="8">
      <c r="C8" t="inlineStr">
        <is>
          <t>Sentença procedente</t>
        </is>
      </c>
    </row>
    <row r="9">
      <c r="C9" t="inlineStr">
        <is>
          <t>Sentença improcedente</t>
        </is>
      </c>
    </row>
    <row r="10">
      <c r="C10" t="inlineStr">
        <is>
          <t>Recurso</t>
        </is>
      </c>
    </row>
    <row r="11">
      <c r="C11" t="inlineStr">
        <is>
          <t>Acordo</t>
        </is>
      </c>
    </row>
    <row r="12">
      <c r="C12" t="inlineStr">
        <is>
          <t>Cumprimento</t>
        </is>
      </c>
    </row>
    <row r="13">
      <c r="C13" t="inlineStr">
        <is>
          <t>Encerrada — recebida</t>
        </is>
      </c>
    </row>
    <row r="14">
      <c r="C14" t="inlineStr">
        <is>
          <t>Arquivada/Inviável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5" t="inlineStr">
        <is>
          <t>Cliente</t>
        </is>
      </c>
      <c r="B1" s="5" t="inlineStr">
        <is>
          <t>CPF</t>
        </is>
      </c>
      <c r="C1" s="5" t="inlineStr">
        <is>
          <t>NB (benefício)</t>
        </is>
      </c>
      <c r="D1" s="5" t="inlineStr">
        <is>
          <t>Telefone/WhatsApp</t>
        </is>
      </c>
      <c r="E1" s="5" t="inlineStr">
        <is>
          <t>Comarca</t>
        </is>
      </c>
      <c r="F1" s="5" t="inlineStr">
        <is>
          <t>Origem (indicação/palestra/digital)</t>
        </is>
      </c>
      <c r="G1" s="5" t="inlineStr">
        <is>
          <t>HISCRE obtido?</t>
        </is>
      </c>
      <c r="H1" s="5" t="inlineStr">
        <is>
          <t>Extrato pagamento obtido?</t>
        </is>
      </c>
      <c r="I1" s="5" t="inlineStr">
        <is>
          <t>Extrato conta obtido?</t>
        </is>
      </c>
      <c r="J1" s="5" t="inlineStr">
        <is>
          <t>SUSEP/SAFE consultado?</t>
        </is>
      </c>
      <c r="K1" s="5" t="inlineStr">
        <is>
          <t>Procuração específica?</t>
        </is>
      </c>
      <c r="L1" s="5" t="inlineStr">
        <is>
          <t>Termo de ciência?</t>
        </is>
      </c>
      <c r="M1" s="5" t="inlineStr">
        <is>
          <t>Req. administrativo?</t>
        </is>
      </c>
      <c r="N1" s="5" t="inlineStr">
        <is>
          <t>Dossiê gratuidade completo?</t>
        </is>
      </c>
      <c r="O1" s="5" t="inlineStr">
        <is>
          <t>Teses identificadas</t>
        </is>
      </c>
      <c r="P1" s="5" t="inlineStr">
        <is>
          <t>Observações</t>
        </is>
      </c>
    </row>
    <row r="2">
      <c r="A2" t="inlineStr">
        <is>
          <t>(exemplo) Maria da Silva</t>
        </is>
      </c>
      <c r="E2" t="inlineStr">
        <is>
          <t>Duque de Caxias</t>
        </is>
      </c>
      <c r="O2" t="inlineStr">
        <is>
          <t>T3, T2, T7</t>
        </is>
      </c>
    </row>
  </sheetData>
  <dataValidations count="1">
    <dataValidation sqref="G2:N400" showDropDown="0" showInputMessage="0" showErrorMessage="0" allowBlank="1" type="list">
      <formula1>=Listas!$E$1:$E$2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15" customWidth="1" min="15" max="15"/>
    <col width="10" customWidth="1" min="16" max="16"/>
    <col width="14" customWidth="1" min="17" max="17"/>
    <col width="14" customWidth="1" min="18" max="18"/>
    <col width="15" customWidth="1" min="19" max="19"/>
    <col width="16" customWidth="1" min="20" max="20"/>
    <col width="16" customWidth="1" min="21" max="21"/>
    <col width="22" customWidth="1" min="22" max="22"/>
    <col width="12" customWidth="1" min="23" max="23"/>
    <col width="26" customWidth="1" min="24" max="24"/>
  </cols>
  <sheetData>
    <row r="1" ht="42" customHeight="1">
      <c r="A1" s="5" t="inlineStr">
        <is>
          <t>Cliente</t>
        </is>
      </c>
      <c r="B1" s="5" t="inlineStr">
        <is>
          <t>Tese</t>
        </is>
      </c>
      <c r="C1" s="5" t="inlineStr">
        <is>
          <t>Banco réu</t>
        </is>
      </c>
      <c r="D1" s="5" t="inlineStr">
        <is>
          <t>Nº contrato</t>
        </is>
      </c>
      <c r="E1" s="5" t="inlineStr">
        <is>
          <t>Foro</t>
        </is>
      </c>
      <c r="F1" s="5" t="inlineStr">
        <is>
          <t>Parcela mensal (R$)</t>
        </is>
      </c>
      <c r="G1" s="5" t="inlineStr">
        <is>
          <t>1º desconto</t>
        </is>
      </c>
      <c r="H1" s="5" t="inlineStr">
        <is>
          <t>Último desconto</t>
        </is>
      </c>
      <c r="I1" s="5" t="inlineStr">
        <is>
          <t>Meses simples (até 03/21)</t>
        </is>
      </c>
      <c r="J1" s="5" t="inlineStr">
        <is>
          <t>Meses dobro (após 03/21)</t>
        </is>
      </c>
      <c r="K1" s="5" t="inlineStr">
        <is>
          <t>Restituição simples (R$)</t>
        </is>
      </c>
      <c r="L1" s="5" t="inlineStr">
        <is>
          <t>Restituição dobro (R$)</t>
        </is>
      </c>
      <c r="M1" s="5" t="inlineStr">
        <is>
          <t>Compensação — creditado (R$)</t>
        </is>
      </c>
      <c r="N1" s="5" t="inlineStr">
        <is>
          <t>Dano moral (R$)</t>
        </is>
      </c>
      <c r="O1" s="5" t="inlineStr">
        <is>
          <t>PROVEITO LÍQUIDO (R$)</t>
        </is>
      </c>
      <c r="P1" s="5" t="inlineStr">
        <is>
          <t>% honor. contratual</t>
        </is>
      </c>
      <c r="Q1" s="5" t="inlineStr">
        <is>
          <t>Honor. contratuais (R$)</t>
        </is>
      </c>
      <c r="R1" s="5" t="inlineStr">
        <is>
          <t>Sucumbência 15% (vara) (R$)</t>
        </is>
      </c>
      <c r="S1" s="5" t="inlineStr">
        <is>
          <t>HONORÁRIOS TOTAIS (R$)</t>
        </is>
      </c>
      <c r="T1" s="5" t="inlineStr">
        <is>
          <t>AVISO prescrição</t>
        </is>
      </c>
      <c r="U1" s="5" t="inlineStr">
        <is>
          <t>Status</t>
        </is>
      </c>
      <c r="V1" s="5" t="inlineStr">
        <is>
          <t>Nº processo (CNJ)</t>
        </is>
      </c>
      <c r="W1" s="5" t="inlineStr">
        <is>
          <t>Próximo prazo</t>
        </is>
      </c>
      <c r="X1" s="5" t="inlineStr">
        <is>
          <t>Observações</t>
        </is>
      </c>
    </row>
    <row r="2">
      <c r="A2" t="inlineStr">
        <is>
          <t>(exemplo) Maria da Silva</t>
        </is>
      </c>
      <c r="B2" t="inlineStr">
        <is>
          <t>T3 RMC/RCC nulidade</t>
        </is>
      </c>
      <c r="C2" t="inlineStr">
        <is>
          <t>BMG</t>
        </is>
      </c>
      <c r="D2" t="inlineStr">
        <is>
          <t>41070364</t>
        </is>
      </c>
      <c r="E2" t="inlineStr">
        <is>
          <t>Vara Cível</t>
        </is>
      </c>
      <c r="F2" s="6" t="n">
        <v>81.05</v>
      </c>
      <c r="G2" s="7" t="n">
        <v>42767</v>
      </c>
      <c r="H2" s="7" t="n">
        <v>46174</v>
      </c>
      <c r="I2">
        <f>IF(OR(G2="",H2=""),"",IF(G2&gt;DATE(2021,3,31),0,DATEDIF(G2,MIN(H2,DATE(2021,3,31)),"m")+1))</f>
        <v/>
      </c>
      <c r="J2">
        <f>IF(OR(G2="",H2=""),"",IF(H2&lt;DATE(2021,4,1),0,DATEDIF(MAX(G2,DATE(2021,4,1)),H2,"m")+1))</f>
        <v/>
      </c>
      <c r="K2" s="6">
        <f>IF(I2="","",I2*F2)</f>
        <v/>
      </c>
      <c r="L2" s="6">
        <f>IF(J2="","",J2*F2*2)</f>
        <v/>
      </c>
      <c r="M2" s="6" t="n">
        <v>1100</v>
      </c>
      <c r="N2" s="6" t="n">
        <v>5000</v>
      </c>
      <c r="O2" s="6">
        <f>IF(K2="","",MAX(0,K2+L2-N(M2))+N(N2))</f>
        <v/>
      </c>
      <c r="P2" s="8">
        <f>IF(A2="","",0.3)</f>
        <v/>
      </c>
      <c r="Q2" s="6">
        <f>IF(O2="","",O2*P2)</f>
        <v/>
      </c>
      <c r="R2" s="6">
        <f>IF(O2="","",IF(E2="Vara Cível",O2*0.15,0))</f>
        <v/>
      </c>
      <c r="S2" s="6">
        <f>IF(O2="","",Q2+R2)</f>
        <v/>
      </c>
      <c r="T2">
        <f>IF(G2="","",IF(G2&lt;EDATE(TODAY(),-120),"⚠ mais de 10 anos — cortar janela",""))</f>
        <v/>
      </c>
      <c r="U2" t="inlineStr">
        <is>
          <t>Triagem</t>
        </is>
      </c>
    </row>
    <row r="3">
      <c r="F3" s="6" t="n"/>
      <c r="G3" s="7" t="n"/>
      <c r="H3" s="7" t="n"/>
      <c r="I3">
        <f>IF(OR(G3="",H3=""),"",IF(G3&gt;DATE(2021,3,31),0,DATEDIF(G3,MIN(H3,DATE(2021,3,31)),"m")+1))</f>
        <v/>
      </c>
      <c r="J3">
        <f>IF(OR(G3="",H3=""),"",IF(H3&lt;DATE(2021,4,1),0,DATEDIF(MAX(G3,DATE(2021,4,1)),H3,"m")+1))</f>
        <v/>
      </c>
      <c r="K3" s="6">
        <f>IF(I3="","",I3*F3)</f>
        <v/>
      </c>
      <c r="L3" s="6">
        <f>IF(J3="","",J3*F3*2)</f>
        <v/>
      </c>
      <c r="M3" s="6" t="n"/>
      <c r="N3" s="6" t="n"/>
      <c r="O3" s="6">
        <f>IF(K3="","",MAX(0,K3+L3-N(M3))+N(N3))</f>
        <v/>
      </c>
      <c r="P3" s="8">
        <f>IF(A3="","",0.3)</f>
        <v/>
      </c>
      <c r="Q3" s="6">
        <f>IF(O3="","",O3*P3)</f>
        <v/>
      </c>
      <c r="R3" s="6">
        <f>IF(O3="","",IF(E3="Vara Cível",O3*0.15,0))</f>
        <v/>
      </c>
      <c r="S3" s="6">
        <f>IF(O3="","",Q3+R3)</f>
        <v/>
      </c>
      <c r="T3">
        <f>IF(G3="","",IF(G3&lt;EDATE(TODAY(),-120),"⚠ mais de 10 anos — cortar janela",""))</f>
        <v/>
      </c>
    </row>
    <row r="4">
      <c r="F4" s="6" t="n"/>
      <c r="G4" s="7" t="n"/>
      <c r="H4" s="7" t="n"/>
      <c r="I4">
        <f>IF(OR(G4="",H4=""),"",IF(G4&gt;DATE(2021,3,31),0,DATEDIF(G4,MIN(H4,DATE(2021,3,31)),"m")+1))</f>
        <v/>
      </c>
      <c r="J4">
        <f>IF(OR(G4="",H4=""),"",IF(H4&lt;DATE(2021,4,1),0,DATEDIF(MAX(G4,DATE(2021,4,1)),H4,"m")+1))</f>
        <v/>
      </c>
      <c r="K4" s="6">
        <f>IF(I4="","",I4*F4)</f>
        <v/>
      </c>
      <c r="L4" s="6">
        <f>IF(J4="","",J4*F4*2)</f>
        <v/>
      </c>
      <c r="M4" s="6" t="n"/>
      <c r="N4" s="6" t="n"/>
      <c r="O4" s="6">
        <f>IF(K4="","",MAX(0,K4+L4-N(M4))+N(N4))</f>
        <v/>
      </c>
      <c r="P4" s="8">
        <f>IF(A4="","",0.3)</f>
        <v/>
      </c>
      <c r="Q4" s="6">
        <f>IF(O4="","",O4*P4)</f>
        <v/>
      </c>
      <c r="R4" s="6">
        <f>IF(O4="","",IF(E4="Vara Cível",O4*0.15,0))</f>
        <v/>
      </c>
      <c r="S4" s="6">
        <f>IF(O4="","",Q4+R4)</f>
        <v/>
      </c>
      <c r="T4">
        <f>IF(G4="","",IF(G4&lt;EDATE(TODAY(),-120),"⚠ mais de 10 anos — cortar janela",""))</f>
        <v/>
      </c>
    </row>
    <row r="5">
      <c r="F5" s="6" t="n"/>
      <c r="G5" s="7" t="n"/>
      <c r="H5" s="7" t="n"/>
      <c r="I5">
        <f>IF(OR(G5="",H5=""),"",IF(G5&gt;DATE(2021,3,31),0,DATEDIF(G5,MIN(H5,DATE(2021,3,31)),"m")+1))</f>
        <v/>
      </c>
      <c r="J5">
        <f>IF(OR(G5="",H5=""),"",IF(H5&lt;DATE(2021,4,1),0,DATEDIF(MAX(G5,DATE(2021,4,1)),H5,"m")+1))</f>
        <v/>
      </c>
      <c r="K5" s="6">
        <f>IF(I5="","",I5*F5)</f>
        <v/>
      </c>
      <c r="L5" s="6">
        <f>IF(J5="","",J5*F5*2)</f>
        <v/>
      </c>
      <c r="M5" s="6" t="n"/>
      <c r="N5" s="6" t="n"/>
      <c r="O5" s="6">
        <f>IF(K5="","",MAX(0,K5+L5-N(M5))+N(N5))</f>
        <v/>
      </c>
      <c r="P5" s="8">
        <f>IF(A5="","",0.3)</f>
        <v/>
      </c>
      <c r="Q5" s="6">
        <f>IF(O5="","",O5*P5)</f>
        <v/>
      </c>
      <c r="R5" s="6">
        <f>IF(O5="","",IF(E5="Vara Cível",O5*0.15,0))</f>
        <v/>
      </c>
      <c r="S5" s="6">
        <f>IF(O5="","",Q5+R5)</f>
        <v/>
      </c>
      <c r="T5">
        <f>IF(G5="","",IF(G5&lt;EDATE(TODAY(),-120),"⚠ mais de 10 anos — cortar janela",""))</f>
        <v/>
      </c>
    </row>
    <row r="6">
      <c r="F6" s="6" t="n"/>
      <c r="G6" s="7" t="n"/>
      <c r="H6" s="7" t="n"/>
      <c r="I6">
        <f>IF(OR(G6="",H6=""),"",IF(G6&gt;DATE(2021,3,31),0,DATEDIF(G6,MIN(H6,DATE(2021,3,31)),"m")+1))</f>
        <v/>
      </c>
      <c r="J6">
        <f>IF(OR(G6="",H6=""),"",IF(H6&lt;DATE(2021,4,1),0,DATEDIF(MAX(G6,DATE(2021,4,1)),H6,"m")+1))</f>
        <v/>
      </c>
      <c r="K6" s="6">
        <f>IF(I6="","",I6*F6)</f>
        <v/>
      </c>
      <c r="L6" s="6">
        <f>IF(J6="","",J6*F6*2)</f>
        <v/>
      </c>
      <c r="M6" s="6" t="n"/>
      <c r="N6" s="6" t="n"/>
      <c r="O6" s="6">
        <f>IF(K6="","",MAX(0,K6+L6-N(M6))+N(N6))</f>
        <v/>
      </c>
      <c r="P6" s="8">
        <f>IF(A6="","",0.3)</f>
        <v/>
      </c>
      <c r="Q6" s="6">
        <f>IF(O6="","",O6*P6)</f>
        <v/>
      </c>
      <c r="R6" s="6">
        <f>IF(O6="","",IF(E6="Vara Cível",O6*0.15,0))</f>
        <v/>
      </c>
      <c r="S6" s="6">
        <f>IF(O6="","",Q6+R6)</f>
        <v/>
      </c>
      <c r="T6">
        <f>IF(G6="","",IF(G6&lt;EDATE(TODAY(),-120),"⚠ mais de 10 anos — cortar janela",""))</f>
        <v/>
      </c>
    </row>
    <row r="7">
      <c r="F7" s="6" t="n"/>
      <c r="G7" s="7" t="n"/>
      <c r="H7" s="7" t="n"/>
      <c r="I7">
        <f>IF(OR(G7="",H7=""),"",IF(G7&gt;DATE(2021,3,31),0,DATEDIF(G7,MIN(H7,DATE(2021,3,31)),"m")+1))</f>
        <v/>
      </c>
      <c r="J7">
        <f>IF(OR(G7="",H7=""),"",IF(H7&lt;DATE(2021,4,1),0,DATEDIF(MAX(G7,DATE(2021,4,1)),H7,"m")+1))</f>
        <v/>
      </c>
      <c r="K7" s="6">
        <f>IF(I7="","",I7*F7)</f>
        <v/>
      </c>
      <c r="L7" s="6">
        <f>IF(J7="","",J7*F7*2)</f>
        <v/>
      </c>
      <c r="M7" s="6" t="n"/>
      <c r="N7" s="6" t="n"/>
      <c r="O7" s="6">
        <f>IF(K7="","",MAX(0,K7+L7-N(M7))+N(N7))</f>
        <v/>
      </c>
      <c r="P7" s="8">
        <f>IF(A7="","",0.3)</f>
        <v/>
      </c>
      <c r="Q7" s="6">
        <f>IF(O7="","",O7*P7)</f>
        <v/>
      </c>
      <c r="R7" s="6">
        <f>IF(O7="","",IF(E7="Vara Cível",O7*0.15,0))</f>
        <v/>
      </c>
      <c r="S7" s="6">
        <f>IF(O7="","",Q7+R7)</f>
        <v/>
      </c>
      <c r="T7">
        <f>IF(G7="","",IF(G7&lt;EDATE(TODAY(),-120),"⚠ mais de 10 anos — cortar janela",""))</f>
        <v/>
      </c>
    </row>
    <row r="8">
      <c r="F8" s="6" t="n"/>
      <c r="G8" s="7" t="n"/>
      <c r="H8" s="7" t="n"/>
      <c r="I8">
        <f>IF(OR(G8="",H8=""),"",IF(G8&gt;DATE(2021,3,31),0,DATEDIF(G8,MIN(H8,DATE(2021,3,31)),"m")+1))</f>
        <v/>
      </c>
      <c r="J8">
        <f>IF(OR(G8="",H8=""),"",IF(H8&lt;DATE(2021,4,1),0,DATEDIF(MAX(G8,DATE(2021,4,1)),H8,"m")+1))</f>
        <v/>
      </c>
      <c r="K8" s="6">
        <f>IF(I8="","",I8*F8)</f>
        <v/>
      </c>
      <c r="L8" s="6">
        <f>IF(J8="","",J8*F8*2)</f>
        <v/>
      </c>
      <c r="M8" s="6" t="n"/>
      <c r="N8" s="6" t="n"/>
      <c r="O8" s="6">
        <f>IF(K8="","",MAX(0,K8+L8-N(M8))+N(N8))</f>
        <v/>
      </c>
      <c r="P8" s="8">
        <f>IF(A8="","",0.3)</f>
        <v/>
      </c>
      <c r="Q8" s="6">
        <f>IF(O8="","",O8*P8)</f>
        <v/>
      </c>
      <c r="R8" s="6">
        <f>IF(O8="","",IF(E8="Vara Cível",O8*0.15,0))</f>
        <v/>
      </c>
      <c r="S8" s="6">
        <f>IF(O8="","",Q8+R8)</f>
        <v/>
      </c>
      <c r="T8">
        <f>IF(G8="","",IF(G8&lt;EDATE(TODAY(),-120),"⚠ mais de 10 anos — cortar janela",""))</f>
        <v/>
      </c>
    </row>
    <row r="9">
      <c r="F9" s="6" t="n"/>
      <c r="G9" s="7" t="n"/>
      <c r="H9" s="7" t="n"/>
      <c r="I9">
        <f>IF(OR(G9="",H9=""),"",IF(G9&gt;DATE(2021,3,31),0,DATEDIF(G9,MIN(H9,DATE(2021,3,31)),"m")+1))</f>
        <v/>
      </c>
      <c r="J9">
        <f>IF(OR(G9="",H9=""),"",IF(H9&lt;DATE(2021,4,1),0,DATEDIF(MAX(G9,DATE(2021,4,1)),H9,"m")+1))</f>
        <v/>
      </c>
      <c r="K9" s="6">
        <f>IF(I9="","",I9*F9)</f>
        <v/>
      </c>
      <c r="L9" s="6">
        <f>IF(J9="","",J9*F9*2)</f>
        <v/>
      </c>
      <c r="M9" s="6" t="n"/>
      <c r="N9" s="6" t="n"/>
      <c r="O9" s="6">
        <f>IF(K9="","",MAX(0,K9+L9-N(M9))+N(N9))</f>
        <v/>
      </c>
      <c r="P9" s="8">
        <f>IF(A9="","",0.3)</f>
        <v/>
      </c>
      <c r="Q9" s="6">
        <f>IF(O9="","",O9*P9)</f>
        <v/>
      </c>
      <c r="R9" s="6">
        <f>IF(O9="","",IF(E9="Vara Cível",O9*0.15,0))</f>
        <v/>
      </c>
      <c r="S9" s="6">
        <f>IF(O9="","",Q9+R9)</f>
        <v/>
      </c>
      <c r="T9">
        <f>IF(G9="","",IF(G9&lt;EDATE(TODAY(),-120),"⚠ mais de 10 anos — cortar janela",""))</f>
        <v/>
      </c>
    </row>
    <row r="10">
      <c r="F10" s="6" t="n"/>
      <c r="G10" s="7" t="n"/>
      <c r="H10" s="7" t="n"/>
      <c r="I10">
        <f>IF(OR(G10="",H10=""),"",IF(G10&gt;DATE(2021,3,31),0,DATEDIF(G10,MIN(H10,DATE(2021,3,31)),"m")+1))</f>
        <v/>
      </c>
      <c r="J10">
        <f>IF(OR(G10="",H10=""),"",IF(H10&lt;DATE(2021,4,1),0,DATEDIF(MAX(G10,DATE(2021,4,1)),H10,"m")+1))</f>
        <v/>
      </c>
      <c r="K10" s="6">
        <f>IF(I10="","",I10*F10)</f>
        <v/>
      </c>
      <c r="L10" s="6">
        <f>IF(J10="","",J10*F10*2)</f>
        <v/>
      </c>
      <c r="M10" s="6" t="n"/>
      <c r="N10" s="6" t="n"/>
      <c r="O10" s="6">
        <f>IF(K10="","",MAX(0,K10+L10-N(M10))+N(N10))</f>
        <v/>
      </c>
      <c r="P10" s="8">
        <f>IF(A10="","",0.3)</f>
        <v/>
      </c>
      <c r="Q10" s="6">
        <f>IF(O10="","",O10*P10)</f>
        <v/>
      </c>
      <c r="R10" s="6">
        <f>IF(O10="","",IF(E10="Vara Cível",O10*0.15,0))</f>
        <v/>
      </c>
      <c r="S10" s="6">
        <f>IF(O10="","",Q10+R10)</f>
        <v/>
      </c>
      <c r="T10">
        <f>IF(G10="","",IF(G10&lt;EDATE(TODAY(),-120),"⚠ mais de 10 anos — cortar janela",""))</f>
        <v/>
      </c>
    </row>
    <row r="11">
      <c r="F11" s="6" t="n"/>
      <c r="G11" s="7" t="n"/>
      <c r="H11" s="7" t="n"/>
      <c r="I11">
        <f>IF(OR(G11="",H11=""),"",IF(G11&gt;DATE(2021,3,31),0,DATEDIF(G11,MIN(H11,DATE(2021,3,31)),"m")+1))</f>
        <v/>
      </c>
      <c r="J11">
        <f>IF(OR(G11="",H11=""),"",IF(H11&lt;DATE(2021,4,1),0,DATEDIF(MAX(G11,DATE(2021,4,1)),H11,"m")+1))</f>
        <v/>
      </c>
      <c r="K11" s="6">
        <f>IF(I11="","",I11*F11)</f>
        <v/>
      </c>
      <c r="L11" s="6">
        <f>IF(J11="","",J11*F11*2)</f>
        <v/>
      </c>
      <c r="M11" s="6" t="n"/>
      <c r="N11" s="6" t="n"/>
      <c r="O11" s="6">
        <f>IF(K11="","",MAX(0,K11+L11-N(M11))+N(N11))</f>
        <v/>
      </c>
      <c r="P11" s="8">
        <f>IF(A11="","",0.3)</f>
        <v/>
      </c>
      <c r="Q11" s="6">
        <f>IF(O11="","",O11*P11)</f>
        <v/>
      </c>
      <c r="R11" s="6">
        <f>IF(O11="","",IF(E11="Vara Cível",O11*0.15,0))</f>
        <v/>
      </c>
      <c r="S11" s="6">
        <f>IF(O11="","",Q11+R11)</f>
        <v/>
      </c>
      <c r="T11">
        <f>IF(G11="","",IF(G11&lt;EDATE(TODAY(),-120),"⚠ mais de 10 anos — cortar janela",""))</f>
        <v/>
      </c>
    </row>
    <row r="12">
      <c r="F12" s="6" t="n"/>
      <c r="G12" s="7" t="n"/>
      <c r="H12" s="7" t="n"/>
      <c r="I12">
        <f>IF(OR(G12="",H12=""),"",IF(G12&gt;DATE(2021,3,31),0,DATEDIF(G12,MIN(H12,DATE(2021,3,31)),"m")+1))</f>
        <v/>
      </c>
      <c r="J12">
        <f>IF(OR(G12="",H12=""),"",IF(H12&lt;DATE(2021,4,1),0,DATEDIF(MAX(G12,DATE(2021,4,1)),H12,"m")+1))</f>
        <v/>
      </c>
      <c r="K12" s="6">
        <f>IF(I12="","",I12*F12)</f>
        <v/>
      </c>
      <c r="L12" s="6">
        <f>IF(J12="","",J12*F12*2)</f>
        <v/>
      </c>
      <c r="M12" s="6" t="n"/>
      <c r="N12" s="6" t="n"/>
      <c r="O12" s="6">
        <f>IF(K12="","",MAX(0,K12+L12-N(M12))+N(N12))</f>
        <v/>
      </c>
      <c r="P12" s="8">
        <f>IF(A12="","",0.3)</f>
        <v/>
      </c>
      <c r="Q12" s="6">
        <f>IF(O12="","",O12*P12)</f>
        <v/>
      </c>
      <c r="R12" s="6">
        <f>IF(O12="","",IF(E12="Vara Cível",O12*0.15,0))</f>
        <v/>
      </c>
      <c r="S12" s="6">
        <f>IF(O12="","",Q12+R12)</f>
        <v/>
      </c>
      <c r="T12">
        <f>IF(G12="","",IF(G12&lt;EDATE(TODAY(),-120),"⚠ mais de 10 anos — cortar janela",""))</f>
        <v/>
      </c>
    </row>
    <row r="13">
      <c r="F13" s="6" t="n"/>
      <c r="G13" s="7" t="n"/>
      <c r="H13" s="7" t="n"/>
      <c r="I13">
        <f>IF(OR(G13="",H13=""),"",IF(G13&gt;DATE(2021,3,31),0,DATEDIF(G13,MIN(H13,DATE(2021,3,31)),"m")+1))</f>
        <v/>
      </c>
      <c r="J13">
        <f>IF(OR(G13="",H13=""),"",IF(H13&lt;DATE(2021,4,1),0,DATEDIF(MAX(G13,DATE(2021,4,1)),H13,"m")+1))</f>
        <v/>
      </c>
      <c r="K13" s="6">
        <f>IF(I13="","",I13*F13)</f>
        <v/>
      </c>
      <c r="L13" s="6">
        <f>IF(J13="","",J13*F13*2)</f>
        <v/>
      </c>
      <c r="M13" s="6" t="n"/>
      <c r="N13" s="6" t="n"/>
      <c r="O13" s="6">
        <f>IF(K13="","",MAX(0,K13+L13-N(M13))+N(N13))</f>
        <v/>
      </c>
      <c r="P13" s="8">
        <f>IF(A13="","",0.3)</f>
        <v/>
      </c>
      <c r="Q13" s="6">
        <f>IF(O13="","",O13*P13)</f>
        <v/>
      </c>
      <c r="R13" s="6">
        <f>IF(O13="","",IF(E13="Vara Cível",O13*0.15,0))</f>
        <v/>
      </c>
      <c r="S13" s="6">
        <f>IF(O13="","",Q13+R13)</f>
        <v/>
      </c>
      <c r="T13">
        <f>IF(G13="","",IF(G13&lt;EDATE(TODAY(),-120),"⚠ mais de 10 anos — cortar janela",""))</f>
        <v/>
      </c>
    </row>
    <row r="14">
      <c r="F14" s="6" t="n"/>
      <c r="G14" s="7" t="n"/>
      <c r="H14" s="7" t="n"/>
      <c r="I14">
        <f>IF(OR(G14="",H14=""),"",IF(G14&gt;DATE(2021,3,31),0,DATEDIF(G14,MIN(H14,DATE(2021,3,31)),"m")+1))</f>
        <v/>
      </c>
      <c r="J14">
        <f>IF(OR(G14="",H14=""),"",IF(H14&lt;DATE(2021,4,1),0,DATEDIF(MAX(G14,DATE(2021,4,1)),H14,"m")+1))</f>
        <v/>
      </c>
      <c r="K14" s="6">
        <f>IF(I14="","",I14*F14)</f>
        <v/>
      </c>
      <c r="L14" s="6">
        <f>IF(J14="","",J14*F14*2)</f>
        <v/>
      </c>
      <c r="M14" s="6" t="n"/>
      <c r="N14" s="6" t="n"/>
      <c r="O14" s="6">
        <f>IF(K14="","",MAX(0,K14+L14-N(M14))+N(N14))</f>
        <v/>
      </c>
      <c r="P14" s="8">
        <f>IF(A14="","",0.3)</f>
        <v/>
      </c>
      <c r="Q14" s="6">
        <f>IF(O14="","",O14*P14)</f>
        <v/>
      </c>
      <c r="R14" s="6">
        <f>IF(O14="","",IF(E14="Vara Cível",O14*0.15,0))</f>
        <v/>
      </c>
      <c r="S14" s="6">
        <f>IF(O14="","",Q14+R14)</f>
        <v/>
      </c>
      <c r="T14">
        <f>IF(G14="","",IF(G14&lt;EDATE(TODAY(),-120),"⚠ mais de 10 anos — cortar janela",""))</f>
        <v/>
      </c>
    </row>
    <row r="15">
      <c r="F15" s="6" t="n"/>
      <c r="G15" s="7" t="n"/>
      <c r="H15" s="7" t="n"/>
      <c r="I15">
        <f>IF(OR(G15="",H15=""),"",IF(G15&gt;DATE(2021,3,31),0,DATEDIF(G15,MIN(H15,DATE(2021,3,31)),"m")+1))</f>
        <v/>
      </c>
      <c r="J15">
        <f>IF(OR(G15="",H15=""),"",IF(H15&lt;DATE(2021,4,1),0,DATEDIF(MAX(G15,DATE(2021,4,1)),H15,"m")+1))</f>
        <v/>
      </c>
      <c r="K15" s="6">
        <f>IF(I15="","",I15*F15)</f>
        <v/>
      </c>
      <c r="L15" s="6">
        <f>IF(J15="","",J15*F15*2)</f>
        <v/>
      </c>
      <c r="M15" s="6" t="n"/>
      <c r="N15" s="6" t="n"/>
      <c r="O15" s="6">
        <f>IF(K15="","",MAX(0,K15+L15-N(M15))+N(N15))</f>
        <v/>
      </c>
      <c r="P15" s="8">
        <f>IF(A15="","",0.3)</f>
        <v/>
      </c>
      <c r="Q15" s="6">
        <f>IF(O15="","",O15*P15)</f>
        <v/>
      </c>
      <c r="R15" s="6">
        <f>IF(O15="","",IF(E15="Vara Cível",O15*0.15,0))</f>
        <v/>
      </c>
      <c r="S15" s="6">
        <f>IF(O15="","",Q15+R15)</f>
        <v/>
      </c>
      <c r="T15">
        <f>IF(G15="","",IF(G15&lt;EDATE(TODAY(),-120),"⚠ mais de 10 anos — cortar janela",""))</f>
        <v/>
      </c>
    </row>
    <row r="16">
      <c r="F16" s="6" t="n"/>
      <c r="G16" s="7" t="n"/>
      <c r="H16" s="7" t="n"/>
      <c r="I16">
        <f>IF(OR(G16="",H16=""),"",IF(G16&gt;DATE(2021,3,31),0,DATEDIF(G16,MIN(H16,DATE(2021,3,31)),"m")+1))</f>
        <v/>
      </c>
      <c r="J16">
        <f>IF(OR(G16="",H16=""),"",IF(H16&lt;DATE(2021,4,1),0,DATEDIF(MAX(G16,DATE(2021,4,1)),H16,"m")+1))</f>
        <v/>
      </c>
      <c r="K16" s="6">
        <f>IF(I16="","",I16*F16)</f>
        <v/>
      </c>
      <c r="L16" s="6">
        <f>IF(J16="","",J16*F16*2)</f>
        <v/>
      </c>
      <c r="M16" s="6" t="n"/>
      <c r="N16" s="6" t="n"/>
      <c r="O16" s="6">
        <f>IF(K16="","",MAX(0,K16+L16-N(M16))+N(N16))</f>
        <v/>
      </c>
      <c r="P16" s="8">
        <f>IF(A16="","",0.3)</f>
        <v/>
      </c>
      <c r="Q16" s="6">
        <f>IF(O16="","",O16*P16)</f>
        <v/>
      </c>
      <c r="R16" s="6">
        <f>IF(O16="","",IF(E16="Vara Cível",O16*0.15,0))</f>
        <v/>
      </c>
      <c r="S16" s="6">
        <f>IF(O16="","",Q16+R16)</f>
        <v/>
      </c>
      <c r="T16">
        <f>IF(G16="","",IF(G16&lt;EDATE(TODAY(),-120),"⚠ mais de 10 anos — cortar janela",""))</f>
        <v/>
      </c>
    </row>
    <row r="17">
      <c r="F17" s="6" t="n"/>
      <c r="G17" s="7" t="n"/>
      <c r="H17" s="7" t="n"/>
      <c r="I17">
        <f>IF(OR(G17="",H17=""),"",IF(G17&gt;DATE(2021,3,31),0,DATEDIF(G17,MIN(H17,DATE(2021,3,31)),"m")+1))</f>
        <v/>
      </c>
      <c r="J17">
        <f>IF(OR(G17="",H17=""),"",IF(H17&lt;DATE(2021,4,1),0,DATEDIF(MAX(G17,DATE(2021,4,1)),H17,"m")+1))</f>
        <v/>
      </c>
      <c r="K17" s="6">
        <f>IF(I17="","",I17*F17)</f>
        <v/>
      </c>
      <c r="L17" s="6">
        <f>IF(J17="","",J17*F17*2)</f>
        <v/>
      </c>
      <c r="M17" s="6" t="n"/>
      <c r="N17" s="6" t="n"/>
      <c r="O17" s="6">
        <f>IF(K17="","",MAX(0,K17+L17-N(M17))+N(N17))</f>
        <v/>
      </c>
      <c r="P17" s="8">
        <f>IF(A17="","",0.3)</f>
        <v/>
      </c>
      <c r="Q17" s="6">
        <f>IF(O17="","",O17*P17)</f>
        <v/>
      </c>
      <c r="R17" s="6">
        <f>IF(O17="","",IF(E17="Vara Cível",O17*0.15,0))</f>
        <v/>
      </c>
      <c r="S17" s="6">
        <f>IF(O17="","",Q17+R17)</f>
        <v/>
      </c>
      <c r="T17">
        <f>IF(G17="","",IF(G17&lt;EDATE(TODAY(),-120),"⚠ mais de 10 anos — cortar janela",""))</f>
        <v/>
      </c>
    </row>
    <row r="18">
      <c r="F18" s="6" t="n"/>
      <c r="G18" s="7" t="n"/>
      <c r="H18" s="7" t="n"/>
      <c r="I18">
        <f>IF(OR(G18="",H18=""),"",IF(G18&gt;DATE(2021,3,31),0,DATEDIF(G18,MIN(H18,DATE(2021,3,31)),"m")+1))</f>
        <v/>
      </c>
      <c r="J18">
        <f>IF(OR(G18="",H18=""),"",IF(H18&lt;DATE(2021,4,1),0,DATEDIF(MAX(G18,DATE(2021,4,1)),H18,"m")+1))</f>
        <v/>
      </c>
      <c r="K18" s="6">
        <f>IF(I18="","",I18*F18)</f>
        <v/>
      </c>
      <c r="L18" s="6">
        <f>IF(J18="","",J18*F18*2)</f>
        <v/>
      </c>
      <c r="M18" s="6" t="n"/>
      <c r="N18" s="6" t="n"/>
      <c r="O18" s="6">
        <f>IF(K18="","",MAX(0,K18+L18-N(M18))+N(N18))</f>
        <v/>
      </c>
      <c r="P18" s="8">
        <f>IF(A18="","",0.3)</f>
        <v/>
      </c>
      <c r="Q18" s="6">
        <f>IF(O18="","",O18*P18)</f>
        <v/>
      </c>
      <c r="R18" s="6">
        <f>IF(O18="","",IF(E18="Vara Cível",O18*0.15,0))</f>
        <v/>
      </c>
      <c r="S18" s="6">
        <f>IF(O18="","",Q18+R18)</f>
        <v/>
      </c>
      <c r="T18">
        <f>IF(G18="","",IF(G18&lt;EDATE(TODAY(),-120),"⚠ mais de 10 anos — cortar janela",""))</f>
        <v/>
      </c>
    </row>
    <row r="19">
      <c r="F19" s="6" t="n"/>
      <c r="G19" s="7" t="n"/>
      <c r="H19" s="7" t="n"/>
      <c r="I19">
        <f>IF(OR(G19="",H19=""),"",IF(G19&gt;DATE(2021,3,31),0,DATEDIF(G19,MIN(H19,DATE(2021,3,31)),"m")+1))</f>
        <v/>
      </c>
      <c r="J19">
        <f>IF(OR(G19="",H19=""),"",IF(H19&lt;DATE(2021,4,1),0,DATEDIF(MAX(G19,DATE(2021,4,1)),H19,"m")+1))</f>
        <v/>
      </c>
      <c r="K19" s="6">
        <f>IF(I19="","",I19*F19)</f>
        <v/>
      </c>
      <c r="L19" s="6">
        <f>IF(J19="","",J19*F19*2)</f>
        <v/>
      </c>
      <c r="M19" s="6" t="n"/>
      <c r="N19" s="6" t="n"/>
      <c r="O19" s="6">
        <f>IF(K19="","",MAX(0,K19+L19-N(M19))+N(N19))</f>
        <v/>
      </c>
      <c r="P19" s="8">
        <f>IF(A19="","",0.3)</f>
        <v/>
      </c>
      <c r="Q19" s="6">
        <f>IF(O19="","",O19*P19)</f>
        <v/>
      </c>
      <c r="R19" s="6">
        <f>IF(O19="","",IF(E19="Vara Cível",O19*0.15,0))</f>
        <v/>
      </c>
      <c r="S19" s="6">
        <f>IF(O19="","",Q19+R19)</f>
        <v/>
      </c>
      <c r="T19">
        <f>IF(G19="","",IF(G19&lt;EDATE(TODAY(),-120),"⚠ mais de 10 anos — cortar janela",""))</f>
        <v/>
      </c>
    </row>
    <row r="20">
      <c r="F20" s="6" t="n"/>
      <c r="G20" s="7" t="n"/>
      <c r="H20" s="7" t="n"/>
      <c r="I20">
        <f>IF(OR(G20="",H20=""),"",IF(G20&gt;DATE(2021,3,31),0,DATEDIF(G20,MIN(H20,DATE(2021,3,31)),"m")+1))</f>
        <v/>
      </c>
      <c r="J20">
        <f>IF(OR(G20="",H20=""),"",IF(H20&lt;DATE(2021,4,1),0,DATEDIF(MAX(G20,DATE(2021,4,1)),H20,"m")+1))</f>
        <v/>
      </c>
      <c r="K20" s="6">
        <f>IF(I20="","",I20*F20)</f>
        <v/>
      </c>
      <c r="L20" s="6">
        <f>IF(J20="","",J20*F20*2)</f>
        <v/>
      </c>
      <c r="M20" s="6" t="n"/>
      <c r="N20" s="6" t="n"/>
      <c r="O20" s="6">
        <f>IF(K20="","",MAX(0,K20+L20-N(M20))+N(N20))</f>
        <v/>
      </c>
      <c r="P20" s="8">
        <f>IF(A20="","",0.3)</f>
        <v/>
      </c>
      <c r="Q20" s="6">
        <f>IF(O20="","",O20*P20)</f>
        <v/>
      </c>
      <c r="R20" s="6">
        <f>IF(O20="","",IF(E20="Vara Cível",O20*0.15,0))</f>
        <v/>
      </c>
      <c r="S20" s="6">
        <f>IF(O20="","",Q20+R20)</f>
        <v/>
      </c>
      <c r="T20">
        <f>IF(G20="","",IF(G20&lt;EDATE(TODAY(),-120),"⚠ mais de 10 anos — cortar janela",""))</f>
        <v/>
      </c>
    </row>
    <row r="21">
      <c r="F21" s="6" t="n"/>
      <c r="G21" s="7" t="n"/>
      <c r="H21" s="7" t="n"/>
      <c r="I21">
        <f>IF(OR(G21="",H21=""),"",IF(G21&gt;DATE(2021,3,31),0,DATEDIF(G21,MIN(H21,DATE(2021,3,31)),"m")+1))</f>
        <v/>
      </c>
      <c r="J21">
        <f>IF(OR(G21="",H21=""),"",IF(H21&lt;DATE(2021,4,1),0,DATEDIF(MAX(G21,DATE(2021,4,1)),H21,"m")+1))</f>
        <v/>
      </c>
      <c r="K21" s="6">
        <f>IF(I21="","",I21*F21)</f>
        <v/>
      </c>
      <c r="L21" s="6">
        <f>IF(J21="","",J21*F21*2)</f>
        <v/>
      </c>
      <c r="M21" s="6" t="n"/>
      <c r="N21" s="6" t="n"/>
      <c r="O21" s="6">
        <f>IF(K21="","",MAX(0,K21+L21-N(M21))+N(N21))</f>
        <v/>
      </c>
      <c r="P21" s="8">
        <f>IF(A21="","",0.3)</f>
        <v/>
      </c>
      <c r="Q21" s="6">
        <f>IF(O21="","",O21*P21)</f>
        <v/>
      </c>
      <c r="R21" s="6">
        <f>IF(O21="","",IF(E21="Vara Cível",O21*0.15,0))</f>
        <v/>
      </c>
      <c r="S21" s="6">
        <f>IF(O21="","",Q21+R21)</f>
        <v/>
      </c>
      <c r="T21">
        <f>IF(G21="","",IF(G21&lt;EDATE(TODAY(),-120),"⚠ mais de 10 anos — cortar janela",""))</f>
        <v/>
      </c>
    </row>
    <row r="22">
      <c r="F22" s="6" t="n"/>
      <c r="G22" s="7" t="n"/>
      <c r="H22" s="7" t="n"/>
      <c r="I22">
        <f>IF(OR(G22="",H22=""),"",IF(G22&gt;DATE(2021,3,31),0,DATEDIF(G22,MIN(H22,DATE(2021,3,31)),"m")+1))</f>
        <v/>
      </c>
      <c r="J22">
        <f>IF(OR(G22="",H22=""),"",IF(H22&lt;DATE(2021,4,1),0,DATEDIF(MAX(G22,DATE(2021,4,1)),H22,"m")+1))</f>
        <v/>
      </c>
      <c r="K22" s="6">
        <f>IF(I22="","",I22*F22)</f>
        <v/>
      </c>
      <c r="L22" s="6">
        <f>IF(J22="","",J22*F22*2)</f>
        <v/>
      </c>
      <c r="M22" s="6" t="n"/>
      <c r="N22" s="6" t="n"/>
      <c r="O22" s="6">
        <f>IF(K22="","",MAX(0,K22+L22-N(M22))+N(N22))</f>
        <v/>
      </c>
      <c r="P22" s="8">
        <f>IF(A22="","",0.3)</f>
        <v/>
      </c>
      <c r="Q22" s="6">
        <f>IF(O22="","",O22*P22)</f>
        <v/>
      </c>
      <c r="R22" s="6">
        <f>IF(O22="","",IF(E22="Vara Cível",O22*0.15,0))</f>
        <v/>
      </c>
      <c r="S22" s="6">
        <f>IF(O22="","",Q22+R22)</f>
        <v/>
      </c>
      <c r="T22">
        <f>IF(G22="","",IF(G22&lt;EDATE(TODAY(),-120),"⚠ mais de 10 anos — cortar janela",""))</f>
        <v/>
      </c>
    </row>
    <row r="23">
      <c r="F23" s="6" t="n"/>
      <c r="G23" s="7" t="n"/>
      <c r="H23" s="7" t="n"/>
      <c r="I23">
        <f>IF(OR(G23="",H23=""),"",IF(G23&gt;DATE(2021,3,31),0,DATEDIF(G23,MIN(H23,DATE(2021,3,31)),"m")+1))</f>
        <v/>
      </c>
      <c r="J23">
        <f>IF(OR(G23="",H23=""),"",IF(H23&lt;DATE(2021,4,1),0,DATEDIF(MAX(G23,DATE(2021,4,1)),H23,"m")+1))</f>
        <v/>
      </c>
      <c r="K23" s="6">
        <f>IF(I23="","",I23*F23)</f>
        <v/>
      </c>
      <c r="L23" s="6">
        <f>IF(J23="","",J23*F23*2)</f>
        <v/>
      </c>
      <c r="M23" s="6" t="n"/>
      <c r="N23" s="6" t="n"/>
      <c r="O23" s="6">
        <f>IF(K23="","",MAX(0,K23+L23-N(M23))+N(N23))</f>
        <v/>
      </c>
      <c r="P23" s="8">
        <f>IF(A23="","",0.3)</f>
        <v/>
      </c>
      <c r="Q23" s="6">
        <f>IF(O23="","",O23*P23)</f>
        <v/>
      </c>
      <c r="R23" s="6">
        <f>IF(O23="","",IF(E23="Vara Cível",O23*0.15,0))</f>
        <v/>
      </c>
      <c r="S23" s="6">
        <f>IF(O23="","",Q23+R23)</f>
        <v/>
      </c>
      <c r="T23">
        <f>IF(G23="","",IF(G23&lt;EDATE(TODAY(),-120),"⚠ mais de 10 anos — cortar janela",""))</f>
        <v/>
      </c>
    </row>
    <row r="24">
      <c r="F24" s="6" t="n"/>
      <c r="G24" s="7" t="n"/>
      <c r="H24" s="7" t="n"/>
      <c r="I24">
        <f>IF(OR(G24="",H24=""),"",IF(G24&gt;DATE(2021,3,31),0,DATEDIF(G24,MIN(H24,DATE(2021,3,31)),"m")+1))</f>
        <v/>
      </c>
      <c r="J24">
        <f>IF(OR(G24="",H24=""),"",IF(H24&lt;DATE(2021,4,1),0,DATEDIF(MAX(G24,DATE(2021,4,1)),H24,"m")+1))</f>
        <v/>
      </c>
      <c r="K24" s="6">
        <f>IF(I24="","",I24*F24)</f>
        <v/>
      </c>
      <c r="L24" s="6">
        <f>IF(J24="","",J24*F24*2)</f>
        <v/>
      </c>
      <c r="M24" s="6" t="n"/>
      <c r="N24" s="6" t="n"/>
      <c r="O24" s="6">
        <f>IF(K24="","",MAX(0,K24+L24-N(M24))+N(N24))</f>
        <v/>
      </c>
      <c r="P24" s="8">
        <f>IF(A24="","",0.3)</f>
        <v/>
      </c>
      <c r="Q24" s="6">
        <f>IF(O24="","",O24*P24)</f>
        <v/>
      </c>
      <c r="R24" s="6">
        <f>IF(O24="","",IF(E24="Vara Cível",O24*0.15,0))</f>
        <v/>
      </c>
      <c r="S24" s="6">
        <f>IF(O24="","",Q24+R24)</f>
        <v/>
      </c>
      <c r="T24">
        <f>IF(G24="","",IF(G24&lt;EDATE(TODAY(),-120),"⚠ mais de 10 anos — cortar janela",""))</f>
        <v/>
      </c>
    </row>
    <row r="25">
      <c r="F25" s="6" t="n"/>
      <c r="G25" s="7" t="n"/>
      <c r="H25" s="7" t="n"/>
      <c r="I25">
        <f>IF(OR(G25="",H25=""),"",IF(G25&gt;DATE(2021,3,31),0,DATEDIF(G25,MIN(H25,DATE(2021,3,31)),"m")+1))</f>
        <v/>
      </c>
      <c r="J25">
        <f>IF(OR(G25="",H25=""),"",IF(H25&lt;DATE(2021,4,1),0,DATEDIF(MAX(G25,DATE(2021,4,1)),H25,"m")+1))</f>
        <v/>
      </c>
      <c r="K25" s="6">
        <f>IF(I25="","",I25*F25)</f>
        <v/>
      </c>
      <c r="L25" s="6">
        <f>IF(J25="","",J25*F25*2)</f>
        <v/>
      </c>
      <c r="M25" s="6" t="n"/>
      <c r="N25" s="6" t="n"/>
      <c r="O25" s="6">
        <f>IF(K25="","",MAX(0,K25+L25-N(M25))+N(N25))</f>
        <v/>
      </c>
      <c r="P25" s="8">
        <f>IF(A25="","",0.3)</f>
        <v/>
      </c>
      <c r="Q25" s="6">
        <f>IF(O25="","",O25*P25)</f>
        <v/>
      </c>
      <c r="R25" s="6">
        <f>IF(O25="","",IF(E25="Vara Cível",O25*0.15,0))</f>
        <v/>
      </c>
      <c r="S25" s="6">
        <f>IF(O25="","",Q25+R25)</f>
        <v/>
      </c>
      <c r="T25">
        <f>IF(G25="","",IF(G25&lt;EDATE(TODAY(),-120),"⚠ mais de 10 anos — cortar janela",""))</f>
        <v/>
      </c>
    </row>
    <row r="26">
      <c r="F26" s="6" t="n"/>
      <c r="G26" s="7" t="n"/>
      <c r="H26" s="7" t="n"/>
      <c r="I26">
        <f>IF(OR(G26="",H26=""),"",IF(G26&gt;DATE(2021,3,31),0,DATEDIF(G26,MIN(H26,DATE(2021,3,31)),"m")+1))</f>
        <v/>
      </c>
      <c r="J26">
        <f>IF(OR(G26="",H26=""),"",IF(H26&lt;DATE(2021,4,1),0,DATEDIF(MAX(G26,DATE(2021,4,1)),H26,"m")+1))</f>
        <v/>
      </c>
      <c r="K26" s="6">
        <f>IF(I26="","",I26*F26)</f>
        <v/>
      </c>
      <c r="L26" s="6">
        <f>IF(J26="","",J26*F26*2)</f>
        <v/>
      </c>
      <c r="M26" s="6" t="n"/>
      <c r="N26" s="6" t="n"/>
      <c r="O26" s="6">
        <f>IF(K26="","",MAX(0,K26+L26-N(M26))+N(N26))</f>
        <v/>
      </c>
      <c r="P26" s="8">
        <f>IF(A26="","",0.3)</f>
        <v/>
      </c>
      <c r="Q26" s="6">
        <f>IF(O26="","",O26*P26)</f>
        <v/>
      </c>
      <c r="R26" s="6">
        <f>IF(O26="","",IF(E26="Vara Cível",O26*0.15,0))</f>
        <v/>
      </c>
      <c r="S26" s="6">
        <f>IF(O26="","",Q26+R26)</f>
        <v/>
      </c>
      <c r="T26">
        <f>IF(G26="","",IF(G26&lt;EDATE(TODAY(),-120),"⚠ mais de 10 anos — cortar janela",""))</f>
        <v/>
      </c>
    </row>
    <row r="27">
      <c r="F27" s="6" t="n"/>
      <c r="G27" s="7" t="n"/>
      <c r="H27" s="7" t="n"/>
      <c r="I27">
        <f>IF(OR(G27="",H27=""),"",IF(G27&gt;DATE(2021,3,31),0,DATEDIF(G27,MIN(H27,DATE(2021,3,31)),"m")+1))</f>
        <v/>
      </c>
      <c r="J27">
        <f>IF(OR(G27="",H27=""),"",IF(H27&lt;DATE(2021,4,1),0,DATEDIF(MAX(G27,DATE(2021,4,1)),H27,"m")+1))</f>
        <v/>
      </c>
      <c r="K27" s="6">
        <f>IF(I27="","",I27*F27)</f>
        <v/>
      </c>
      <c r="L27" s="6">
        <f>IF(J27="","",J27*F27*2)</f>
        <v/>
      </c>
      <c r="M27" s="6" t="n"/>
      <c r="N27" s="6" t="n"/>
      <c r="O27" s="6">
        <f>IF(K27="","",MAX(0,K27+L27-N(M27))+N(N27))</f>
        <v/>
      </c>
      <c r="P27" s="8">
        <f>IF(A27="","",0.3)</f>
        <v/>
      </c>
      <c r="Q27" s="6">
        <f>IF(O27="","",O27*P27)</f>
        <v/>
      </c>
      <c r="R27" s="6">
        <f>IF(O27="","",IF(E27="Vara Cível",O27*0.15,0))</f>
        <v/>
      </c>
      <c r="S27" s="6">
        <f>IF(O27="","",Q27+R27)</f>
        <v/>
      </c>
      <c r="T27">
        <f>IF(G27="","",IF(G27&lt;EDATE(TODAY(),-120),"⚠ mais de 10 anos — cortar janela",""))</f>
        <v/>
      </c>
    </row>
    <row r="28">
      <c r="F28" s="6" t="n"/>
      <c r="G28" s="7" t="n"/>
      <c r="H28" s="7" t="n"/>
      <c r="I28">
        <f>IF(OR(G28="",H28=""),"",IF(G28&gt;DATE(2021,3,31),0,DATEDIF(G28,MIN(H28,DATE(2021,3,31)),"m")+1))</f>
        <v/>
      </c>
      <c r="J28">
        <f>IF(OR(G28="",H28=""),"",IF(H28&lt;DATE(2021,4,1),0,DATEDIF(MAX(G28,DATE(2021,4,1)),H28,"m")+1))</f>
        <v/>
      </c>
      <c r="K28" s="6">
        <f>IF(I28="","",I28*F28)</f>
        <v/>
      </c>
      <c r="L28" s="6">
        <f>IF(J28="","",J28*F28*2)</f>
        <v/>
      </c>
      <c r="M28" s="6" t="n"/>
      <c r="N28" s="6" t="n"/>
      <c r="O28" s="6">
        <f>IF(K28="","",MAX(0,K28+L28-N(M28))+N(N28))</f>
        <v/>
      </c>
      <c r="P28" s="8">
        <f>IF(A28="","",0.3)</f>
        <v/>
      </c>
      <c r="Q28" s="6">
        <f>IF(O28="","",O28*P28)</f>
        <v/>
      </c>
      <c r="R28" s="6">
        <f>IF(O28="","",IF(E28="Vara Cível",O28*0.15,0))</f>
        <v/>
      </c>
      <c r="S28" s="6">
        <f>IF(O28="","",Q28+R28)</f>
        <v/>
      </c>
      <c r="T28">
        <f>IF(G28="","",IF(G28&lt;EDATE(TODAY(),-120),"⚠ mais de 10 anos — cortar janela",""))</f>
        <v/>
      </c>
    </row>
    <row r="29">
      <c r="F29" s="6" t="n"/>
      <c r="G29" s="7" t="n"/>
      <c r="H29" s="7" t="n"/>
      <c r="I29">
        <f>IF(OR(G29="",H29=""),"",IF(G29&gt;DATE(2021,3,31),0,DATEDIF(G29,MIN(H29,DATE(2021,3,31)),"m")+1))</f>
        <v/>
      </c>
      <c r="J29">
        <f>IF(OR(G29="",H29=""),"",IF(H29&lt;DATE(2021,4,1),0,DATEDIF(MAX(G29,DATE(2021,4,1)),H29,"m")+1))</f>
        <v/>
      </c>
      <c r="K29" s="6">
        <f>IF(I29="","",I29*F29)</f>
        <v/>
      </c>
      <c r="L29" s="6">
        <f>IF(J29="","",J29*F29*2)</f>
        <v/>
      </c>
      <c r="M29" s="6" t="n"/>
      <c r="N29" s="6" t="n"/>
      <c r="O29" s="6">
        <f>IF(K29="","",MAX(0,K29+L29-N(M29))+N(N29))</f>
        <v/>
      </c>
      <c r="P29" s="8">
        <f>IF(A29="","",0.3)</f>
        <v/>
      </c>
      <c r="Q29" s="6">
        <f>IF(O29="","",O29*P29)</f>
        <v/>
      </c>
      <c r="R29" s="6">
        <f>IF(O29="","",IF(E29="Vara Cível",O29*0.15,0))</f>
        <v/>
      </c>
      <c r="S29" s="6">
        <f>IF(O29="","",Q29+R29)</f>
        <v/>
      </c>
      <c r="T29">
        <f>IF(G29="","",IF(G29&lt;EDATE(TODAY(),-120),"⚠ mais de 10 anos — cortar janela",""))</f>
        <v/>
      </c>
    </row>
    <row r="30">
      <c r="F30" s="6" t="n"/>
      <c r="G30" s="7" t="n"/>
      <c r="H30" s="7" t="n"/>
      <c r="I30">
        <f>IF(OR(G30="",H30=""),"",IF(G30&gt;DATE(2021,3,31),0,DATEDIF(G30,MIN(H30,DATE(2021,3,31)),"m")+1))</f>
        <v/>
      </c>
      <c r="J30">
        <f>IF(OR(G30="",H30=""),"",IF(H30&lt;DATE(2021,4,1),0,DATEDIF(MAX(G30,DATE(2021,4,1)),H30,"m")+1))</f>
        <v/>
      </c>
      <c r="K30" s="6">
        <f>IF(I30="","",I30*F30)</f>
        <v/>
      </c>
      <c r="L30" s="6">
        <f>IF(J30="","",J30*F30*2)</f>
        <v/>
      </c>
      <c r="M30" s="6" t="n"/>
      <c r="N30" s="6" t="n"/>
      <c r="O30" s="6">
        <f>IF(K30="","",MAX(0,K30+L30-N(M30))+N(N30))</f>
        <v/>
      </c>
      <c r="P30" s="8">
        <f>IF(A30="","",0.3)</f>
        <v/>
      </c>
      <c r="Q30" s="6">
        <f>IF(O30="","",O30*P30)</f>
        <v/>
      </c>
      <c r="R30" s="6">
        <f>IF(O30="","",IF(E30="Vara Cível",O30*0.15,0))</f>
        <v/>
      </c>
      <c r="S30" s="6">
        <f>IF(O30="","",Q30+R30)</f>
        <v/>
      </c>
      <c r="T30">
        <f>IF(G30="","",IF(G30&lt;EDATE(TODAY(),-120),"⚠ mais de 10 anos — cortar janela",""))</f>
        <v/>
      </c>
    </row>
    <row r="31">
      <c r="F31" s="6" t="n"/>
      <c r="G31" s="7" t="n"/>
      <c r="H31" s="7" t="n"/>
      <c r="I31">
        <f>IF(OR(G31="",H31=""),"",IF(G31&gt;DATE(2021,3,31),0,DATEDIF(G31,MIN(H31,DATE(2021,3,31)),"m")+1))</f>
        <v/>
      </c>
      <c r="J31">
        <f>IF(OR(G31="",H31=""),"",IF(H31&lt;DATE(2021,4,1),0,DATEDIF(MAX(G31,DATE(2021,4,1)),H31,"m")+1))</f>
        <v/>
      </c>
      <c r="K31" s="6">
        <f>IF(I31="","",I31*F31)</f>
        <v/>
      </c>
      <c r="L31" s="6">
        <f>IF(J31="","",J31*F31*2)</f>
        <v/>
      </c>
      <c r="M31" s="6" t="n"/>
      <c r="N31" s="6" t="n"/>
      <c r="O31" s="6">
        <f>IF(K31="","",MAX(0,K31+L31-N(M31))+N(N31))</f>
        <v/>
      </c>
      <c r="P31" s="8">
        <f>IF(A31="","",0.3)</f>
        <v/>
      </c>
      <c r="Q31" s="6">
        <f>IF(O31="","",O31*P31)</f>
        <v/>
      </c>
      <c r="R31" s="6">
        <f>IF(O31="","",IF(E31="Vara Cível",O31*0.15,0))</f>
        <v/>
      </c>
      <c r="S31" s="6">
        <f>IF(O31="","",Q31+R31)</f>
        <v/>
      </c>
      <c r="T31">
        <f>IF(G31="","",IF(G31&lt;EDATE(TODAY(),-120),"⚠ mais de 10 anos — cortar janela",""))</f>
        <v/>
      </c>
    </row>
    <row r="32">
      <c r="F32" s="6" t="n"/>
      <c r="G32" s="7" t="n"/>
      <c r="H32" s="7" t="n"/>
      <c r="I32">
        <f>IF(OR(G32="",H32=""),"",IF(G32&gt;DATE(2021,3,31),0,DATEDIF(G32,MIN(H32,DATE(2021,3,31)),"m")+1))</f>
        <v/>
      </c>
      <c r="J32">
        <f>IF(OR(G32="",H32=""),"",IF(H32&lt;DATE(2021,4,1),0,DATEDIF(MAX(G32,DATE(2021,4,1)),H32,"m")+1))</f>
        <v/>
      </c>
      <c r="K32" s="6">
        <f>IF(I32="","",I32*F32)</f>
        <v/>
      </c>
      <c r="L32" s="6">
        <f>IF(J32="","",J32*F32*2)</f>
        <v/>
      </c>
      <c r="M32" s="6" t="n"/>
      <c r="N32" s="6" t="n"/>
      <c r="O32" s="6">
        <f>IF(K32="","",MAX(0,K32+L32-N(M32))+N(N32))</f>
        <v/>
      </c>
      <c r="P32" s="8">
        <f>IF(A32="","",0.3)</f>
        <v/>
      </c>
      <c r="Q32" s="6">
        <f>IF(O32="","",O32*P32)</f>
        <v/>
      </c>
      <c r="R32" s="6">
        <f>IF(O32="","",IF(E32="Vara Cível",O32*0.15,0))</f>
        <v/>
      </c>
      <c r="S32" s="6">
        <f>IF(O32="","",Q32+R32)</f>
        <v/>
      </c>
      <c r="T32">
        <f>IF(G32="","",IF(G32&lt;EDATE(TODAY(),-120),"⚠ mais de 10 anos — cortar janela",""))</f>
        <v/>
      </c>
    </row>
    <row r="33">
      <c r="F33" s="6" t="n"/>
      <c r="G33" s="7" t="n"/>
      <c r="H33" s="7" t="n"/>
      <c r="I33">
        <f>IF(OR(G33="",H33=""),"",IF(G33&gt;DATE(2021,3,31),0,DATEDIF(G33,MIN(H33,DATE(2021,3,31)),"m")+1))</f>
        <v/>
      </c>
      <c r="J33">
        <f>IF(OR(G33="",H33=""),"",IF(H33&lt;DATE(2021,4,1),0,DATEDIF(MAX(G33,DATE(2021,4,1)),H33,"m")+1))</f>
        <v/>
      </c>
      <c r="K33" s="6">
        <f>IF(I33="","",I33*F33)</f>
        <v/>
      </c>
      <c r="L33" s="6">
        <f>IF(J33="","",J33*F33*2)</f>
        <v/>
      </c>
      <c r="M33" s="6" t="n"/>
      <c r="N33" s="6" t="n"/>
      <c r="O33" s="6">
        <f>IF(K33="","",MAX(0,K33+L33-N(M33))+N(N33))</f>
        <v/>
      </c>
      <c r="P33" s="8">
        <f>IF(A33="","",0.3)</f>
        <v/>
      </c>
      <c r="Q33" s="6">
        <f>IF(O33="","",O33*P33)</f>
        <v/>
      </c>
      <c r="R33" s="6">
        <f>IF(O33="","",IF(E33="Vara Cível",O33*0.15,0))</f>
        <v/>
      </c>
      <c r="S33" s="6">
        <f>IF(O33="","",Q33+R33)</f>
        <v/>
      </c>
      <c r="T33">
        <f>IF(G33="","",IF(G33&lt;EDATE(TODAY(),-120),"⚠ mais de 10 anos — cortar janela",""))</f>
        <v/>
      </c>
    </row>
    <row r="34">
      <c r="F34" s="6" t="n"/>
      <c r="G34" s="7" t="n"/>
      <c r="H34" s="7" t="n"/>
      <c r="I34">
        <f>IF(OR(G34="",H34=""),"",IF(G34&gt;DATE(2021,3,31),0,DATEDIF(G34,MIN(H34,DATE(2021,3,31)),"m")+1))</f>
        <v/>
      </c>
      <c r="J34">
        <f>IF(OR(G34="",H34=""),"",IF(H34&lt;DATE(2021,4,1),0,DATEDIF(MAX(G34,DATE(2021,4,1)),H34,"m")+1))</f>
        <v/>
      </c>
      <c r="K34" s="6">
        <f>IF(I34="","",I34*F34)</f>
        <v/>
      </c>
      <c r="L34" s="6">
        <f>IF(J34="","",J34*F34*2)</f>
        <v/>
      </c>
      <c r="M34" s="6" t="n"/>
      <c r="N34" s="6" t="n"/>
      <c r="O34" s="6">
        <f>IF(K34="","",MAX(0,K34+L34-N(M34))+N(N34))</f>
        <v/>
      </c>
      <c r="P34" s="8">
        <f>IF(A34="","",0.3)</f>
        <v/>
      </c>
      <c r="Q34" s="6">
        <f>IF(O34="","",O34*P34)</f>
        <v/>
      </c>
      <c r="R34" s="6">
        <f>IF(O34="","",IF(E34="Vara Cível",O34*0.15,0))</f>
        <v/>
      </c>
      <c r="S34" s="6">
        <f>IF(O34="","",Q34+R34)</f>
        <v/>
      </c>
      <c r="T34">
        <f>IF(G34="","",IF(G34&lt;EDATE(TODAY(),-120),"⚠ mais de 10 anos — cortar janela",""))</f>
        <v/>
      </c>
    </row>
    <row r="35">
      <c r="F35" s="6" t="n"/>
      <c r="G35" s="7" t="n"/>
      <c r="H35" s="7" t="n"/>
      <c r="I35">
        <f>IF(OR(G35="",H35=""),"",IF(G35&gt;DATE(2021,3,31),0,DATEDIF(G35,MIN(H35,DATE(2021,3,31)),"m")+1))</f>
        <v/>
      </c>
      <c r="J35">
        <f>IF(OR(G35="",H35=""),"",IF(H35&lt;DATE(2021,4,1),0,DATEDIF(MAX(G35,DATE(2021,4,1)),H35,"m")+1))</f>
        <v/>
      </c>
      <c r="K35" s="6">
        <f>IF(I35="","",I35*F35)</f>
        <v/>
      </c>
      <c r="L35" s="6">
        <f>IF(J35="","",J35*F35*2)</f>
        <v/>
      </c>
      <c r="M35" s="6" t="n"/>
      <c r="N35" s="6" t="n"/>
      <c r="O35" s="6">
        <f>IF(K35="","",MAX(0,K35+L35-N(M35))+N(N35))</f>
        <v/>
      </c>
      <c r="P35" s="8">
        <f>IF(A35="","",0.3)</f>
        <v/>
      </c>
      <c r="Q35" s="6">
        <f>IF(O35="","",O35*P35)</f>
        <v/>
      </c>
      <c r="R35" s="6">
        <f>IF(O35="","",IF(E35="Vara Cível",O35*0.15,0))</f>
        <v/>
      </c>
      <c r="S35" s="6">
        <f>IF(O35="","",Q35+R35)</f>
        <v/>
      </c>
      <c r="T35">
        <f>IF(G35="","",IF(G35&lt;EDATE(TODAY(),-120),"⚠ mais de 10 anos — cortar janela",""))</f>
        <v/>
      </c>
    </row>
    <row r="36">
      <c r="F36" s="6" t="n"/>
      <c r="G36" s="7" t="n"/>
      <c r="H36" s="7" t="n"/>
      <c r="I36">
        <f>IF(OR(G36="",H36=""),"",IF(G36&gt;DATE(2021,3,31),0,DATEDIF(G36,MIN(H36,DATE(2021,3,31)),"m")+1))</f>
        <v/>
      </c>
      <c r="J36">
        <f>IF(OR(G36="",H36=""),"",IF(H36&lt;DATE(2021,4,1),0,DATEDIF(MAX(G36,DATE(2021,4,1)),H36,"m")+1))</f>
        <v/>
      </c>
      <c r="K36" s="6">
        <f>IF(I36="","",I36*F36)</f>
        <v/>
      </c>
      <c r="L36" s="6">
        <f>IF(J36="","",J36*F36*2)</f>
        <v/>
      </c>
      <c r="M36" s="6" t="n"/>
      <c r="N36" s="6" t="n"/>
      <c r="O36" s="6">
        <f>IF(K36="","",MAX(0,K36+L36-N(M36))+N(N36))</f>
        <v/>
      </c>
      <c r="P36" s="8">
        <f>IF(A36="","",0.3)</f>
        <v/>
      </c>
      <c r="Q36" s="6">
        <f>IF(O36="","",O36*P36)</f>
        <v/>
      </c>
      <c r="R36" s="6">
        <f>IF(O36="","",IF(E36="Vara Cível",O36*0.15,0))</f>
        <v/>
      </c>
      <c r="S36" s="6">
        <f>IF(O36="","",Q36+R36)</f>
        <v/>
      </c>
      <c r="T36">
        <f>IF(G36="","",IF(G36&lt;EDATE(TODAY(),-120),"⚠ mais de 10 anos — cortar janela",""))</f>
        <v/>
      </c>
    </row>
    <row r="37">
      <c r="F37" s="6" t="n"/>
      <c r="G37" s="7" t="n"/>
      <c r="H37" s="7" t="n"/>
      <c r="I37">
        <f>IF(OR(G37="",H37=""),"",IF(G37&gt;DATE(2021,3,31),0,DATEDIF(G37,MIN(H37,DATE(2021,3,31)),"m")+1))</f>
        <v/>
      </c>
      <c r="J37">
        <f>IF(OR(G37="",H37=""),"",IF(H37&lt;DATE(2021,4,1),0,DATEDIF(MAX(G37,DATE(2021,4,1)),H37,"m")+1))</f>
        <v/>
      </c>
      <c r="K37" s="6">
        <f>IF(I37="","",I37*F37)</f>
        <v/>
      </c>
      <c r="L37" s="6">
        <f>IF(J37="","",J37*F37*2)</f>
        <v/>
      </c>
      <c r="M37" s="6" t="n"/>
      <c r="N37" s="6" t="n"/>
      <c r="O37" s="6">
        <f>IF(K37="","",MAX(0,K37+L37-N(M37))+N(N37))</f>
        <v/>
      </c>
      <c r="P37" s="8">
        <f>IF(A37="","",0.3)</f>
        <v/>
      </c>
      <c r="Q37" s="6">
        <f>IF(O37="","",O37*P37)</f>
        <v/>
      </c>
      <c r="R37" s="6">
        <f>IF(O37="","",IF(E37="Vara Cível",O37*0.15,0))</f>
        <v/>
      </c>
      <c r="S37" s="6">
        <f>IF(O37="","",Q37+R37)</f>
        <v/>
      </c>
      <c r="T37">
        <f>IF(G37="","",IF(G37&lt;EDATE(TODAY(),-120),"⚠ mais de 10 anos — cortar janela",""))</f>
        <v/>
      </c>
    </row>
    <row r="38">
      <c r="F38" s="6" t="n"/>
      <c r="G38" s="7" t="n"/>
      <c r="H38" s="7" t="n"/>
      <c r="I38">
        <f>IF(OR(G38="",H38=""),"",IF(G38&gt;DATE(2021,3,31),0,DATEDIF(G38,MIN(H38,DATE(2021,3,31)),"m")+1))</f>
        <v/>
      </c>
      <c r="J38">
        <f>IF(OR(G38="",H38=""),"",IF(H38&lt;DATE(2021,4,1),0,DATEDIF(MAX(G38,DATE(2021,4,1)),H38,"m")+1))</f>
        <v/>
      </c>
      <c r="K38" s="6">
        <f>IF(I38="","",I38*F38)</f>
        <v/>
      </c>
      <c r="L38" s="6">
        <f>IF(J38="","",J38*F38*2)</f>
        <v/>
      </c>
      <c r="M38" s="6" t="n"/>
      <c r="N38" s="6" t="n"/>
      <c r="O38" s="6">
        <f>IF(K38="","",MAX(0,K38+L38-N(M38))+N(N38))</f>
        <v/>
      </c>
      <c r="P38" s="8">
        <f>IF(A38="","",0.3)</f>
        <v/>
      </c>
      <c r="Q38" s="6">
        <f>IF(O38="","",O38*P38)</f>
        <v/>
      </c>
      <c r="R38" s="6">
        <f>IF(O38="","",IF(E38="Vara Cível",O38*0.15,0))</f>
        <v/>
      </c>
      <c r="S38" s="6">
        <f>IF(O38="","",Q38+R38)</f>
        <v/>
      </c>
      <c r="T38">
        <f>IF(G38="","",IF(G38&lt;EDATE(TODAY(),-120),"⚠ mais de 10 anos — cortar janela",""))</f>
        <v/>
      </c>
    </row>
    <row r="39">
      <c r="F39" s="6" t="n"/>
      <c r="G39" s="7" t="n"/>
      <c r="H39" s="7" t="n"/>
      <c r="I39">
        <f>IF(OR(G39="",H39=""),"",IF(G39&gt;DATE(2021,3,31),0,DATEDIF(G39,MIN(H39,DATE(2021,3,31)),"m")+1))</f>
        <v/>
      </c>
      <c r="J39">
        <f>IF(OR(G39="",H39=""),"",IF(H39&lt;DATE(2021,4,1),0,DATEDIF(MAX(G39,DATE(2021,4,1)),H39,"m")+1))</f>
        <v/>
      </c>
      <c r="K39" s="6">
        <f>IF(I39="","",I39*F39)</f>
        <v/>
      </c>
      <c r="L39" s="6">
        <f>IF(J39="","",J39*F39*2)</f>
        <v/>
      </c>
      <c r="M39" s="6" t="n"/>
      <c r="N39" s="6" t="n"/>
      <c r="O39" s="6">
        <f>IF(K39="","",MAX(0,K39+L39-N(M39))+N(N39))</f>
        <v/>
      </c>
      <c r="P39" s="8">
        <f>IF(A39="","",0.3)</f>
        <v/>
      </c>
      <c r="Q39" s="6">
        <f>IF(O39="","",O39*P39)</f>
        <v/>
      </c>
      <c r="R39" s="6">
        <f>IF(O39="","",IF(E39="Vara Cível",O39*0.15,0))</f>
        <v/>
      </c>
      <c r="S39" s="6">
        <f>IF(O39="","",Q39+R39)</f>
        <v/>
      </c>
      <c r="T39">
        <f>IF(G39="","",IF(G39&lt;EDATE(TODAY(),-120),"⚠ mais de 10 anos — cortar janela",""))</f>
        <v/>
      </c>
    </row>
    <row r="40">
      <c r="F40" s="6" t="n"/>
      <c r="G40" s="7" t="n"/>
      <c r="H40" s="7" t="n"/>
      <c r="I40">
        <f>IF(OR(G40="",H40=""),"",IF(G40&gt;DATE(2021,3,31),0,DATEDIF(G40,MIN(H40,DATE(2021,3,31)),"m")+1))</f>
        <v/>
      </c>
      <c r="J40">
        <f>IF(OR(G40="",H40=""),"",IF(H40&lt;DATE(2021,4,1),0,DATEDIF(MAX(G40,DATE(2021,4,1)),H40,"m")+1))</f>
        <v/>
      </c>
      <c r="K40" s="6">
        <f>IF(I40="","",I40*F40)</f>
        <v/>
      </c>
      <c r="L40" s="6">
        <f>IF(J40="","",J40*F40*2)</f>
        <v/>
      </c>
      <c r="M40" s="6" t="n"/>
      <c r="N40" s="6" t="n"/>
      <c r="O40" s="6">
        <f>IF(K40="","",MAX(0,K40+L40-N(M40))+N(N40))</f>
        <v/>
      </c>
      <c r="P40" s="8">
        <f>IF(A40="","",0.3)</f>
        <v/>
      </c>
      <c r="Q40" s="6">
        <f>IF(O40="","",O40*P40)</f>
        <v/>
      </c>
      <c r="R40" s="6">
        <f>IF(O40="","",IF(E40="Vara Cível",O40*0.15,0))</f>
        <v/>
      </c>
      <c r="S40" s="6">
        <f>IF(O40="","",Q40+R40)</f>
        <v/>
      </c>
      <c r="T40">
        <f>IF(G40="","",IF(G40&lt;EDATE(TODAY(),-120),"⚠ mais de 10 anos — cortar janela",""))</f>
        <v/>
      </c>
    </row>
    <row r="41">
      <c r="F41" s="6" t="n"/>
      <c r="G41" s="7" t="n"/>
      <c r="H41" s="7" t="n"/>
      <c r="I41">
        <f>IF(OR(G41="",H41=""),"",IF(G41&gt;DATE(2021,3,31),0,DATEDIF(G41,MIN(H41,DATE(2021,3,31)),"m")+1))</f>
        <v/>
      </c>
      <c r="J41">
        <f>IF(OR(G41="",H41=""),"",IF(H41&lt;DATE(2021,4,1),0,DATEDIF(MAX(G41,DATE(2021,4,1)),H41,"m")+1))</f>
        <v/>
      </c>
      <c r="K41" s="6">
        <f>IF(I41="","",I41*F41)</f>
        <v/>
      </c>
      <c r="L41" s="6">
        <f>IF(J41="","",J41*F41*2)</f>
        <v/>
      </c>
      <c r="M41" s="6" t="n"/>
      <c r="N41" s="6" t="n"/>
      <c r="O41" s="6">
        <f>IF(K41="","",MAX(0,K41+L41-N(M41))+N(N41))</f>
        <v/>
      </c>
      <c r="P41" s="8">
        <f>IF(A41="","",0.3)</f>
        <v/>
      </c>
      <c r="Q41" s="6">
        <f>IF(O41="","",O41*P41)</f>
        <v/>
      </c>
      <c r="R41" s="6">
        <f>IF(O41="","",IF(E41="Vara Cível",O41*0.15,0))</f>
        <v/>
      </c>
      <c r="S41" s="6">
        <f>IF(O41="","",Q41+R41)</f>
        <v/>
      </c>
      <c r="T41">
        <f>IF(G41="","",IF(G41&lt;EDATE(TODAY(),-120),"⚠ mais de 10 anos — cortar janela",""))</f>
        <v/>
      </c>
    </row>
    <row r="42">
      <c r="F42" s="6" t="n"/>
      <c r="G42" s="7" t="n"/>
      <c r="H42" s="7" t="n"/>
      <c r="I42">
        <f>IF(OR(G42="",H42=""),"",IF(G42&gt;DATE(2021,3,31),0,DATEDIF(G42,MIN(H42,DATE(2021,3,31)),"m")+1))</f>
        <v/>
      </c>
      <c r="J42">
        <f>IF(OR(G42="",H42=""),"",IF(H42&lt;DATE(2021,4,1),0,DATEDIF(MAX(G42,DATE(2021,4,1)),H42,"m")+1))</f>
        <v/>
      </c>
      <c r="K42" s="6">
        <f>IF(I42="","",I42*F42)</f>
        <v/>
      </c>
      <c r="L42" s="6">
        <f>IF(J42="","",J42*F42*2)</f>
        <v/>
      </c>
      <c r="M42" s="6" t="n"/>
      <c r="N42" s="6" t="n"/>
      <c r="O42" s="6">
        <f>IF(K42="","",MAX(0,K42+L42-N(M42))+N(N42))</f>
        <v/>
      </c>
      <c r="P42" s="8">
        <f>IF(A42="","",0.3)</f>
        <v/>
      </c>
      <c r="Q42" s="6">
        <f>IF(O42="","",O42*P42)</f>
        <v/>
      </c>
      <c r="R42" s="6">
        <f>IF(O42="","",IF(E42="Vara Cível",O42*0.15,0))</f>
        <v/>
      </c>
      <c r="S42" s="6">
        <f>IF(O42="","",Q42+R42)</f>
        <v/>
      </c>
      <c r="T42">
        <f>IF(G42="","",IF(G42&lt;EDATE(TODAY(),-120),"⚠ mais de 10 anos — cortar janela",""))</f>
        <v/>
      </c>
    </row>
    <row r="43">
      <c r="F43" s="6" t="n"/>
      <c r="G43" s="7" t="n"/>
      <c r="H43" s="7" t="n"/>
      <c r="I43">
        <f>IF(OR(G43="",H43=""),"",IF(G43&gt;DATE(2021,3,31),0,DATEDIF(G43,MIN(H43,DATE(2021,3,31)),"m")+1))</f>
        <v/>
      </c>
      <c r="J43">
        <f>IF(OR(G43="",H43=""),"",IF(H43&lt;DATE(2021,4,1),0,DATEDIF(MAX(G43,DATE(2021,4,1)),H43,"m")+1))</f>
        <v/>
      </c>
      <c r="K43" s="6">
        <f>IF(I43="","",I43*F43)</f>
        <v/>
      </c>
      <c r="L43" s="6">
        <f>IF(J43="","",J43*F43*2)</f>
        <v/>
      </c>
      <c r="M43" s="6" t="n"/>
      <c r="N43" s="6" t="n"/>
      <c r="O43" s="6">
        <f>IF(K43="","",MAX(0,K43+L43-N(M43))+N(N43))</f>
        <v/>
      </c>
      <c r="P43" s="8">
        <f>IF(A43="","",0.3)</f>
        <v/>
      </c>
      <c r="Q43" s="6">
        <f>IF(O43="","",O43*P43)</f>
        <v/>
      </c>
      <c r="R43" s="6">
        <f>IF(O43="","",IF(E43="Vara Cível",O43*0.15,0))</f>
        <v/>
      </c>
      <c r="S43" s="6">
        <f>IF(O43="","",Q43+R43)</f>
        <v/>
      </c>
      <c r="T43">
        <f>IF(G43="","",IF(G43&lt;EDATE(TODAY(),-120),"⚠ mais de 10 anos — cortar janela",""))</f>
        <v/>
      </c>
    </row>
    <row r="44">
      <c r="F44" s="6" t="n"/>
      <c r="G44" s="7" t="n"/>
      <c r="H44" s="7" t="n"/>
      <c r="I44">
        <f>IF(OR(G44="",H44=""),"",IF(G44&gt;DATE(2021,3,31),0,DATEDIF(G44,MIN(H44,DATE(2021,3,31)),"m")+1))</f>
        <v/>
      </c>
      <c r="J44">
        <f>IF(OR(G44="",H44=""),"",IF(H44&lt;DATE(2021,4,1),0,DATEDIF(MAX(G44,DATE(2021,4,1)),H44,"m")+1))</f>
        <v/>
      </c>
      <c r="K44" s="6">
        <f>IF(I44="","",I44*F44)</f>
        <v/>
      </c>
      <c r="L44" s="6">
        <f>IF(J44="","",J44*F44*2)</f>
        <v/>
      </c>
      <c r="M44" s="6" t="n"/>
      <c r="N44" s="6" t="n"/>
      <c r="O44" s="6">
        <f>IF(K44="","",MAX(0,K44+L44-N(M44))+N(N44))</f>
        <v/>
      </c>
      <c r="P44" s="8">
        <f>IF(A44="","",0.3)</f>
        <v/>
      </c>
      <c r="Q44" s="6">
        <f>IF(O44="","",O44*P44)</f>
        <v/>
      </c>
      <c r="R44" s="6">
        <f>IF(O44="","",IF(E44="Vara Cível",O44*0.15,0))</f>
        <v/>
      </c>
      <c r="S44" s="6">
        <f>IF(O44="","",Q44+R44)</f>
        <v/>
      </c>
      <c r="T44">
        <f>IF(G44="","",IF(G44&lt;EDATE(TODAY(),-120),"⚠ mais de 10 anos — cortar janela",""))</f>
        <v/>
      </c>
    </row>
    <row r="45">
      <c r="F45" s="6" t="n"/>
      <c r="G45" s="7" t="n"/>
      <c r="H45" s="7" t="n"/>
      <c r="I45">
        <f>IF(OR(G45="",H45=""),"",IF(G45&gt;DATE(2021,3,31),0,DATEDIF(G45,MIN(H45,DATE(2021,3,31)),"m")+1))</f>
        <v/>
      </c>
      <c r="J45">
        <f>IF(OR(G45="",H45=""),"",IF(H45&lt;DATE(2021,4,1),0,DATEDIF(MAX(G45,DATE(2021,4,1)),H45,"m")+1))</f>
        <v/>
      </c>
      <c r="K45" s="6">
        <f>IF(I45="","",I45*F45)</f>
        <v/>
      </c>
      <c r="L45" s="6">
        <f>IF(J45="","",J45*F45*2)</f>
        <v/>
      </c>
      <c r="M45" s="6" t="n"/>
      <c r="N45" s="6" t="n"/>
      <c r="O45" s="6">
        <f>IF(K45="","",MAX(0,K45+L45-N(M45))+N(N45))</f>
        <v/>
      </c>
      <c r="P45" s="8">
        <f>IF(A45="","",0.3)</f>
        <v/>
      </c>
      <c r="Q45" s="6">
        <f>IF(O45="","",O45*P45)</f>
        <v/>
      </c>
      <c r="R45" s="6">
        <f>IF(O45="","",IF(E45="Vara Cível",O45*0.15,0))</f>
        <v/>
      </c>
      <c r="S45" s="6">
        <f>IF(O45="","",Q45+R45)</f>
        <v/>
      </c>
      <c r="T45">
        <f>IF(G45="","",IF(G45&lt;EDATE(TODAY(),-120),"⚠ mais de 10 anos — cortar janela",""))</f>
        <v/>
      </c>
    </row>
    <row r="46">
      <c r="F46" s="6" t="n"/>
      <c r="G46" s="7" t="n"/>
      <c r="H46" s="7" t="n"/>
      <c r="I46">
        <f>IF(OR(G46="",H46=""),"",IF(G46&gt;DATE(2021,3,31),0,DATEDIF(G46,MIN(H46,DATE(2021,3,31)),"m")+1))</f>
        <v/>
      </c>
      <c r="J46">
        <f>IF(OR(G46="",H46=""),"",IF(H46&lt;DATE(2021,4,1),0,DATEDIF(MAX(G46,DATE(2021,4,1)),H46,"m")+1))</f>
        <v/>
      </c>
      <c r="K46" s="6">
        <f>IF(I46="","",I46*F46)</f>
        <v/>
      </c>
      <c r="L46" s="6">
        <f>IF(J46="","",J46*F46*2)</f>
        <v/>
      </c>
      <c r="M46" s="6" t="n"/>
      <c r="N46" s="6" t="n"/>
      <c r="O46" s="6">
        <f>IF(K46="","",MAX(0,K46+L46-N(M46))+N(N46))</f>
        <v/>
      </c>
      <c r="P46" s="8">
        <f>IF(A46="","",0.3)</f>
        <v/>
      </c>
      <c r="Q46" s="6">
        <f>IF(O46="","",O46*P46)</f>
        <v/>
      </c>
      <c r="R46" s="6">
        <f>IF(O46="","",IF(E46="Vara Cível",O46*0.15,0))</f>
        <v/>
      </c>
      <c r="S46" s="6">
        <f>IF(O46="","",Q46+R46)</f>
        <v/>
      </c>
      <c r="T46">
        <f>IF(G46="","",IF(G46&lt;EDATE(TODAY(),-120),"⚠ mais de 10 anos — cortar janela",""))</f>
        <v/>
      </c>
    </row>
    <row r="47">
      <c r="F47" s="6" t="n"/>
      <c r="G47" s="7" t="n"/>
      <c r="H47" s="7" t="n"/>
      <c r="I47">
        <f>IF(OR(G47="",H47=""),"",IF(G47&gt;DATE(2021,3,31),0,DATEDIF(G47,MIN(H47,DATE(2021,3,31)),"m")+1))</f>
        <v/>
      </c>
      <c r="J47">
        <f>IF(OR(G47="",H47=""),"",IF(H47&lt;DATE(2021,4,1),0,DATEDIF(MAX(G47,DATE(2021,4,1)),H47,"m")+1))</f>
        <v/>
      </c>
      <c r="K47" s="6">
        <f>IF(I47="","",I47*F47)</f>
        <v/>
      </c>
      <c r="L47" s="6">
        <f>IF(J47="","",J47*F47*2)</f>
        <v/>
      </c>
      <c r="M47" s="6" t="n"/>
      <c r="N47" s="6" t="n"/>
      <c r="O47" s="6">
        <f>IF(K47="","",MAX(0,K47+L47-N(M47))+N(N47))</f>
        <v/>
      </c>
      <c r="P47" s="8">
        <f>IF(A47="","",0.3)</f>
        <v/>
      </c>
      <c r="Q47" s="6">
        <f>IF(O47="","",O47*P47)</f>
        <v/>
      </c>
      <c r="R47" s="6">
        <f>IF(O47="","",IF(E47="Vara Cível",O47*0.15,0))</f>
        <v/>
      </c>
      <c r="S47" s="6">
        <f>IF(O47="","",Q47+R47)</f>
        <v/>
      </c>
      <c r="T47">
        <f>IF(G47="","",IF(G47&lt;EDATE(TODAY(),-120),"⚠ mais de 10 anos — cortar janela",""))</f>
        <v/>
      </c>
    </row>
    <row r="48">
      <c r="F48" s="6" t="n"/>
      <c r="G48" s="7" t="n"/>
      <c r="H48" s="7" t="n"/>
      <c r="I48">
        <f>IF(OR(G48="",H48=""),"",IF(G48&gt;DATE(2021,3,31),0,DATEDIF(G48,MIN(H48,DATE(2021,3,31)),"m")+1))</f>
        <v/>
      </c>
      <c r="J48">
        <f>IF(OR(G48="",H48=""),"",IF(H48&lt;DATE(2021,4,1),0,DATEDIF(MAX(G48,DATE(2021,4,1)),H48,"m")+1))</f>
        <v/>
      </c>
      <c r="K48" s="6">
        <f>IF(I48="","",I48*F48)</f>
        <v/>
      </c>
      <c r="L48" s="6">
        <f>IF(J48="","",J48*F48*2)</f>
        <v/>
      </c>
      <c r="M48" s="6" t="n"/>
      <c r="N48" s="6" t="n"/>
      <c r="O48" s="6">
        <f>IF(K48="","",MAX(0,K48+L48-N(M48))+N(N48))</f>
        <v/>
      </c>
      <c r="P48" s="8">
        <f>IF(A48="","",0.3)</f>
        <v/>
      </c>
      <c r="Q48" s="6">
        <f>IF(O48="","",O48*P48)</f>
        <v/>
      </c>
      <c r="R48" s="6">
        <f>IF(O48="","",IF(E48="Vara Cível",O48*0.15,0))</f>
        <v/>
      </c>
      <c r="S48" s="6">
        <f>IF(O48="","",Q48+R48)</f>
        <v/>
      </c>
      <c r="T48">
        <f>IF(G48="","",IF(G48&lt;EDATE(TODAY(),-120),"⚠ mais de 10 anos — cortar janela",""))</f>
        <v/>
      </c>
    </row>
    <row r="49">
      <c r="F49" s="6" t="n"/>
      <c r="G49" s="7" t="n"/>
      <c r="H49" s="7" t="n"/>
      <c r="I49">
        <f>IF(OR(G49="",H49=""),"",IF(G49&gt;DATE(2021,3,31),0,DATEDIF(G49,MIN(H49,DATE(2021,3,31)),"m")+1))</f>
        <v/>
      </c>
      <c r="J49">
        <f>IF(OR(G49="",H49=""),"",IF(H49&lt;DATE(2021,4,1),0,DATEDIF(MAX(G49,DATE(2021,4,1)),H49,"m")+1))</f>
        <v/>
      </c>
      <c r="K49" s="6">
        <f>IF(I49="","",I49*F49)</f>
        <v/>
      </c>
      <c r="L49" s="6">
        <f>IF(J49="","",J49*F49*2)</f>
        <v/>
      </c>
      <c r="M49" s="6" t="n"/>
      <c r="N49" s="6" t="n"/>
      <c r="O49" s="6">
        <f>IF(K49="","",MAX(0,K49+L49-N(M49))+N(N49))</f>
        <v/>
      </c>
      <c r="P49" s="8">
        <f>IF(A49="","",0.3)</f>
        <v/>
      </c>
      <c r="Q49" s="6">
        <f>IF(O49="","",O49*P49)</f>
        <v/>
      </c>
      <c r="R49" s="6">
        <f>IF(O49="","",IF(E49="Vara Cível",O49*0.15,0))</f>
        <v/>
      </c>
      <c r="S49" s="6">
        <f>IF(O49="","",Q49+R49)</f>
        <v/>
      </c>
      <c r="T49">
        <f>IF(G49="","",IF(G49&lt;EDATE(TODAY(),-120),"⚠ mais de 10 anos — cortar janela",""))</f>
        <v/>
      </c>
    </row>
    <row r="50">
      <c r="F50" s="6" t="n"/>
      <c r="G50" s="7" t="n"/>
      <c r="H50" s="7" t="n"/>
      <c r="I50">
        <f>IF(OR(G50="",H50=""),"",IF(G50&gt;DATE(2021,3,31),0,DATEDIF(G50,MIN(H50,DATE(2021,3,31)),"m")+1))</f>
        <v/>
      </c>
      <c r="J50">
        <f>IF(OR(G50="",H50=""),"",IF(H50&lt;DATE(2021,4,1),0,DATEDIF(MAX(G50,DATE(2021,4,1)),H50,"m")+1))</f>
        <v/>
      </c>
      <c r="K50" s="6">
        <f>IF(I50="","",I50*F50)</f>
        <v/>
      </c>
      <c r="L50" s="6">
        <f>IF(J50="","",J50*F50*2)</f>
        <v/>
      </c>
      <c r="M50" s="6" t="n"/>
      <c r="N50" s="6" t="n"/>
      <c r="O50" s="6">
        <f>IF(K50="","",MAX(0,K50+L50-N(M50))+N(N50))</f>
        <v/>
      </c>
      <c r="P50" s="8">
        <f>IF(A50="","",0.3)</f>
        <v/>
      </c>
      <c r="Q50" s="6">
        <f>IF(O50="","",O50*P50)</f>
        <v/>
      </c>
      <c r="R50" s="6">
        <f>IF(O50="","",IF(E50="Vara Cível",O50*0.15,0))</f>
        <v/>
      </c>
      <c r="S50" s="6">
        <f>IF(O50="","",Q50+R50)</f>
        <v/>
      </c>
      <c r="T50">
        <f>IF(G50="","",IF(G50&lt;EDATE(TODAY(),-120),"⚠ mais de 10 anos — cortar janela",""))</f>
        <v/>
      </c>
    </row>
    <row r="51">
      <c r="F51" s="6" t="n"/>
      <c r="G51" s="7" t="n"/>
      <c r="H51" s="7" t="n"/>
      <c r="I51">
        <f>IF(OR(G51="",H51=""),"",IF(G51&gt;DATE(2021,3,31),0,DATEDIF(G51,MIN(H51,DATE(2021,3,31)),"m")+1))</f>
        <v/>
      </c>
      <c r="J51">
        <f>IF(OR(G51="",H51=""),"",IF(H51&lt;DATE(2021,4,1),0,DATEDIF(MAX(G51,DATE(2021,4,1)),H51,"m")+1))</f>
        <v/>
      </c>
      <c r="K51" s="6">
        <f>IF(I51="","",I51*F51)</f>
        <v/>
      </c>
      <c r="L51" s="6">
        <f>IF(J51="","",J51*F51*2)</f>
        <v/>
      </c>
      <c r="M51" s="6" t="n"/>
      <c r="N51" s="6" t="n"/>
      <c r="O51" s="6">
        <f>IF(K51="","",MAX(0,K51+L51-N(M51))+N(N51))</f>
        <v/>
      </c>
      <c r="P51" s="8">
        <f>IF(A51="","",0.3)</f>
        <v/>
      </c>
      <c r="Q51" s="6">
        <f>IF(O51="","",O51*P51)</f>
        <v/>
      </c>
      <c r="R51" s="6">
        <f>IF(O51="","",IF(E51="Vara Cível",O51*0.15,0))</f>
        <v/>
      </c>
      <c r="S51" s="6">
        <f>IF(O51="","",Q51+R51)</f>
        <v/>
      </c>
      <c r="T51">
        <f>IF(G51="","",IF(G51&lt;EDATE(TODAY(),-120),"⚠ mais de 10 anos — cortar janela",""))</f>
        <v/>
      </c>
    </row>
    <row r="52">
      <c r="F52" s="6" t="n"/>
      <c r="G52" s="7" t="n"/>
      <c r="H52" s="7" t="n"/>
      <c r="I52">
        <f>IF(OR(G52="",H52=""),"",IF(G52&gt;DATE(2021,3,31),0,DATEDIF(G52,MIN(H52,DATE(2021,3,31)),"m")+1))</f>
        <v/>
      </c>
      <c r="J52">
        <f>IF(OR(G52="",H52=""),"",IF(H52&lt;DATE(2021,4,1),0,DATEDIF(MAX(G52,DATE(2021,4,1)),H52,"m")+1))</f>
        <v/>
      </c>
      <c r="K52" s="6">
        <f>IF(I52="","",I52*F52)</f>
        <v/>
      </c>
      <c r="L52" s="6">
        <f>IF(J52="","",J52*F52*2)</f>
        <v/>
      </c>
      <c r="M52" s="6" t="n"/>
      <c r="N52" s="6" t="n"/>
      <c r="O52" s="6">
        <f>IF(K52="","",MAX(0,K52+L52-N(M52))+N(N52))</f>
        <v/>
      </c>
      <c r="P52" s="8">
        <f>IF(A52="","",0.3)</f>
        <v/>
      </c>
      <c r="Q52" s="6">
        <f>IF(O52="","",O52*P52)</f>
        <v/>
      </c>
      <c r="R52" s="6">
        <f>IF(O52="","",IF(E52="Vara Cível",O52*0.15,0))</f>
        <v/>
      </c>
      <c r="S52" s="6">
        <f>IF(O52="","",Q52+R52)</f>
        <v/>
      </c>
      <c r="T52">
        <f>IF(G52="","",IF(G52&lt;EDATE(TODAY(),-120),"⚠ mais de 10 anos — cortar janela",""))</f>
        <v/>
      </c>
    </row>
    <row r="53">
      <c r="F53" s="6" t="n"/>
      <c r="G53" s="7" t="n"/>
      <c r="H53" s="7" t="n"/>
      <c r="I53">
        <f>IF(OR(G53="",H53=""),"",IF(G53&gt;DATE(2021,3,31),0,DATEDIF(G53,MIN(H53,DATE(2021,3,31)),"m")+1))</f>
        <v/>
      </c>
      <c r="J53">
        <f>IF(OR(G53="",H53=""),"",IF(H53&lt;DATE(2021,4,1),0,DATEDIF(MAX(G53,DATE(2021,4,1)),H53,"m")+1))</f>
        <v/>
      </c>
      <c r="K53" s="6">
        <f>IF(I53="","",I53*F53)</f>
        <v/>
      </c>
      <c r="L53" s="6">
        <f>IF(J53="","",J53*F53*2)</f>
        <v/>
      </c>
      <c r="M53" s="6" t="n"/>
      <c r="N53" s="6" t="n"/>
      <c r="O53" s="6">
        <f>IF(K53="","",MAX(0,K53+L53-N(M53))+N(N53))</f>
        <v/>
      </c>
      <c r="P53" s="8">
        <f>IF(A53="","",0.3)</f>
        <v/>
      </c>
      <c r="Q53" s="6">
        <f>IF(O53="","",O53*P53)</f>
        <v/>
      </c>
      <c r="R53" s="6">
        <f>IF(O53="","",IF(E53="Vara Cível",O53*0.15,0))</f>
        <v/>
      </c>
      <c r="S53" s="6">
        <f>IF(O53="","",Q53+R53)</f>
        <v/>
      </c>
      <c r="T53">
        <f>IF(G53="","",IF(G53&lt;EDATE(TODAY(),-120),"⚠ mais de 10 anos — cortar janela",""))</f>
        <v/>
      </c>
    </row>
    <row r="54">
      <c r="F54" s="6" t="n"/>
      <c r="G54" s="7" t="n"/>
      <c r="H54" s="7" t="n"/>
      <c r="I54">
        <f>IF(OR(G54="",H54=""),"",IF(G54&gt;DATE(2021,3,31),0,DATEDIF(G54,MIN(H54,DATE(2021,3,31)),"m")+1))</f>
        <v/>
      </c>
      <c r="J54">
        <f>IF(OR(G54="",H54=""),"",IF(H54&lt;DATE(2021,4,1),0,DATEDIF(MAX(G54,DATE(2021,4,1)),H54,"m")+1))</f>
        <v/>
      </c>
      <c r="K54" s="6">
        <f>IF(I54="","",I54*F54)</f>
        <v/>
      </c>
      <c r="L54" s="6">
        <f>IF(J54="","",J54*F54*2)</f>
        <v/>
      </c>
      <c r="M54" s="6" t="n"/>
      <c r="N54" s="6" t="n"/>
      <c r="O54" s="6">
        <f>IF(K54="","",MAX(0,K54+L54-N(M54))+N(N54))</f>
        <v/>
      </c>
      <c r="P54" s="8">
        <f>IF(A54="","",0.3)</f>
        <v/>
      </c>
      <c r="Q54" s="6">
        <f>IF(O54="","",O54*P54)</f>
        <v/>
      </c>
      <c r="R54" s="6">
        <f>IF(O54="","",IF(E54="Vara Cível",O54*0.15,0))</f>
        <v/>
      </c>
      <c r="S54" s="6">
        <f>IF(O54="","",Q54+R54)</f>
        <v/>
      </c>
      <c r="T54">
        <f>IF(G54="","",IF(G54&lt;EDATE(TODAY(),-120),"⚠ mais de 10 anos — cortar janela",""))</f>
        <v/>
      </c>
    </row>
    <row r="55">
      <c r="F55" s="6" t="n"/>
      <c r="G55" s="7" t="n"/>
      <c r="H55" s="7" t="n"/>
      <c r="I55">
        <f>IF(OR(G55="",H55=""),"",IF(G55&gt;DATE(2021,3,31),0,DATEDIF(G55,MIN(H55,DATE(2021,3,31)),"m")+1))</f>
        <v/>
      </c>
      <c r="J55">
        <f>IF(OR(G55="",H55=""),"",IF(H55&lt;DATE(2021,4,1),0,DATEDIF(MAX(G55,DATE(2021,4,1)),H55,"m")+1))</f>
        <v/>
      </c>
      <c r="K55" s="6">
        <f>IF(I55="","",I55*F55)</f>
        <v/>
      </c>
      <c r="L55" s="6">
        <f>IF(J55="","",J55*F55*2)</f>
        <v/>
      </c>
      <c r="M55" s="6" t="n"/>
      <c r="N55" s="6" t="n"/>
      <c r="O55" s="6">
        <f>IF(K55="","",MAX(0,K55+L55-N(M55))+N(N55))</f>
        <v/>
      </c>
      <c r="P55" s="8">
        <f>IF(A55="","",0.3)</f>
        <v/>
      </c>
      <c r="Q55" s="6">
        <f>IF(O55="","",O55*P55)</f>
        <v/>
      </c>
      <c r="R55" s="6">
        <f>IF(O55="","",IF(E55="Vara Cível",O55*0.15,0))</f>
        <v/>
      </c>
      <c r="S55" s="6">
        <f>IF(O55="","",Q55+R55)</f>
        <v/>
      </c>
      <c r="T55">
        <f>IF(G55="","",IF(G55&lt;EDATE(TODAY(),-120),"⚠ mais de 10 anos — cortar janela",""))</f>
        <v/>
      </c>
    </row>
    <row r="56">
      <c r="F56" s="6" t="n"/>
      <c r="G56" s="7" t="n"/>
      <c r="H56" s="7" t="n"/>
      <c r="I56">
        <f>IF(OR(G56="",H56=""),"",IF(G56&gt;DATE(2021,3,31),0,DATEDIF(G56,MIN(H56,DATE(2021,3,31)),"m")+1))</f>
        <v/>
      </c>
      <c r="J56">
        <f>IF(OR(G56="",H56=""),"",IF(H56&lt;DATE(2021,4,1),0,DATEDIF(MAX(G56,DATE(2021,4,1)),H56,"m")+1))</f>
        <v/>
      </c>
      <c r="K56" s="6">
        <f>IF(I56="","",I56*F56)</f>
        <v/>
      </c>
      <c r="L56" s="6">
        <f>IF(J56="","",J56*F56*2)</f>
        <v/>
      </c>
      <c r="M56" s="6" t="n"/>
      <c r="N56" s="6" t="n"/>
      <c r="O56" s="6">
        <f>IF(K56="","",MAX(0,K56+L56-N(M56))+N(N56))</f>
        <v/>
      </c>
      <c r="P56" s="8">
        <f>IF(A56="","",0.3)</f>
        <v/>
      </c>
      <c r="Q56" s="6">
        <f>IF(O56="","",O56*P56)</f>
        <v/>
      </c>
      <c r="R56" s="6">
        <f>IF(O56="","",IF(E56="Vara Cível",O56*0.15,0))</f>
        <v/>
      </c>
      <c r="S56" s="6">
        <f>IF(O56="","",Q56+R56)</f>
        <v/>
      </c>
      <c r="T56">
        <f>IF(G56="","",IF(G56&lt;EDATE(TODAY(),-120),"⚠ mais de 10 anos — cortar janela",""))</f>
        <v/>
      </c>
    </row>
    <row r="57">
      <c r="F57" s="6" t="n"/>
      <c r="G57" s="7" t="n"/>
      <c r="H57" s="7" t="n"/>
      <c r="I57">
        <f>IF(OR(G57="",H57=""),"",IF(G57&gt;DATE(2021,3,31),0,DATEDIF(G57,MIN(H57,DATE(2021,3,31)),"m")+1))</f>
        <v/>
      </c>
      <c r="J57">
        <f>IF(OR(G57="",H57=""),"",IF(H57&lt;DATE(2021,4,1),0,DATEDIF(MAX(G57,DATE(2021,4,1)),H57,"m")+1))</f>
        <v/>
      </c>
      <c r="K57" s="6">
        <f>IF(I57="","",I57*F57)</f>
        <v/>
      </c>
      <c r="L57" s="6">
        <f>IF(J57="","",J57*F57*2)</f>
        <v/>
      </c>
      <c r="M57" s="6" t="n"/>
      <c r="N57" s="6" t="n"/>
      <c r="O57" s="6">
        <f>IF(K57="","",MAX(0,K57+L57-N(M57))+N(N57))</f>
        <v/>
      </c>
      <c r="P57" s="8">
        <f>IF(A57="","",0.3)</f>
        <v/>
      </c>
      <c r="Q57" s="6">
        <f>IF(O57="","",O57*P57)</f>
        <v/>
      </c>
      <c r="R57" s="6">
        <f>IF(O57="","",IF(E57="Vara Cível",O57*0.15,0))</f>
        <v/>
      </c>
      <c r="S57" s="6">
        <f>IF(O57="","",Q57+R57)</f>
        <v/>
      </c>
      <c r="T57">
        <f>IF(G57="","",IF(G57&lt;EDATE(TODAY(),-120),"⚠ mais de 10 anos — cortar janela",""))</f>
        <v/>
      </c>
    </row>
    <row r="58">
      <c r="F58" s="6" t="n"/>
      <c r="G58" s="7" t="n"/>
      <c r="H58" s="7" t="n"/>
      <c r="I58">
        <f>IF(OR(G58="",H58=""),"",IF(G58&gt;DATE(2021,3,31),0,DATEDIF(G58,MIN(H58,DATE(2021,3,31)),"m")+1))</f>
        <v/>
      </c>
      <c r="J58">
        <f>IF(OR(G58="",H58=""),"",IF(H58&lt;DATE(2021,4,1),0,DATEDIF(MAX(G58,DATE(2021,4,1)),H58,"m")+1))</f>
        <v/>
      </c>
      <c r="K58" s="6">
        <f>IF(I58="","",I58*F58)</f>
        <v/>
      </c>
      <c r="L58" s="6">
        <f>IF(J58="","",J58*F58*2)</f>
        <v/>
      </c>
      <c r="M58" s="6" t="n"/>
      <c r="N58" s="6" t="n"/>
      <c r="O58" s="6">
        <f>IF(K58="","",MAX(0,K58+L58-N(M58))+N(N58))</f>
        <v/>
      </c>
      <c r="P58" s="8">
        <f>IF(A58="","",0.3)</f>
        <v/>
      </c>
      <c r="Q58" s="6">
        <f>IF(O58="","",O58*P58)</f>
        <v/>
      </c>
      <c r="R58" s="6">
        <f>IF(O58="","",IF(E58="Vara Cível",O58*0.15,0))</f>
        <v/>
      </c>
      <c r="S58" s="6">
        <f>IF(O58="","",Q58+R58)</f>
        <v/>
      </c>
      <c r="T58">
        <f>IF(G58="","",IF(G58&lt;EDATE(TODAY(),-120),"⚠ mais de 10 anos — cortar janela",""))</f>
        <v/>
      </c>
    </row>
    <row r="59">
      <c r="F59" s="6" t="n"/>
      <c r="G59" s="7" t="n"/>
      <c r="H59" s="7" t="n"/>
      <c r="I59">
        <f>IF(OR(G59="",H59=""),"",IF(G59&gt;DATE(2021,3,31),0,DATEDIF(G59,MIN(H59,DATE(2021,3,31)),"m")+1))</f>
        <v/>
      </c>
      <c r="J59">
        <f>IF(OR(G59="",H59=""),"",IF(H59&lt;DATE(2021,4,1),0,DATEDIF(MAX(G59,DATE(2021,4,1)),H59,"m")+1))</f>
        <v/>
      </c>
      <c r="K59" s="6">
        <f>IF(I59="","",I59*F59)</f>
        <v/>
      </c>
      <c r="L59" s="6">
        <f>IF(J59="","",J59*F59*2)</f>
        <v/>
      </c>
      <c r="M59" s="6" t="n"/>
      <c r="N59" s="6" t="n"/>
      <c r="O59" s="6">
        <f>IF(K59="","",MAX(0,K59+L59-N(M59))+N(N59))</f>
        <v/>
      </c>
      <c r="P59" s="8">
        <f>IF(A59="","",0.3)</f>
        <v/>
      </c>
      <c r="Q59" s="6">
        <f>IF(O59="","",O59*P59)</f>
        <v/>
      </c>
      <c r="R59" s="6">
        <f>IF(O59="","",IF(E59="Vara Cível",O59*0.15,0))</f>
        <v/>
      </c>
      <c r="S59" s="6">
        <f>IF(O59="","",Q59+R59)</f>
        <v/>
      </c>
      <c r="T59">
        <f>IF(G59="","",IF(G59&lt;EDATE(TODAY(),-120),"⚠ mais de 10 anos — cortar janela",""))</f>
        <v/>
      </c>
    </row>
    <row r="60">
      <c r="F60" s="6" t="n"/>
      <c r="G60" s="7" t="n"/>
      <c r="H60" s="7" t="n"/>
      <c r="I60">
        <f>IF(OR(G60="",H60=""),"",IF(G60&gt;DATE(2021,3,31),0,DATEDIF(G60,MIN(H60,DATE(2021,3,31)),"m")+1))</f>
        <v/>
      </c>
      <c r="J60">
        <f>IF(OR(G60="",H60=""),"",IF(H60&lt;DATE(2021,4,1),0,DATEDIF(MAX(G60,DATE(2021,4,1)),H60,"m")+1))</f>
        <v/>
      </c>
      <c r="K60" s="6">
        <f>IF(I60="","",I60*F60)</f>
        <v/>
      </c>
      <c r="L60" s="6">
        <f>IF(J60="","",J60*F60*2)</f>
        <v/>
      </c>
      <c r="M60" s="6" t="n"/>
      <c r="N60" s="6" t="n"/>
      <c r="O60" s="6">
        <f>IF(K60="","",MAX(0,K60+L60-N(M60))+N(N60))</f>
        <v/>
      </c>
      <c r="P60" s="8">
        <f>IF(A60="","",0.3)</f>
        <v/>
      </c>
      <c r="Q60" s="6">
        <f>IF(O60="","",O60*P60)</f>
        <v/>
      </c>
      <c r="R60" s="6">
        <f>IF(O60="","",IF(E60="Vara Cível",O60*0.15,0))</f>
        <v/>
      </c>
      <c r="S60" s="6">
        <f>IF(O60="","",Q60+R60)</f>
        <v/>
      </c>
      <c r="T60">
        <f>IF(G60="","",IF(G60&lt;EDATE(TODAY(),-120),"⚠ mais de 10 anos — cortar janela",""))</f>
        <v/>
      </c>
    </row>
    <row r="61">
      <c r="F61" s="6" t="n"/>
      <c r="G61" s="7" t="n"/>
      <c r="H61" s="7" t="n"/>
      <c r="I61">
        <f>IF(OR(G61="",H61=""),"",IF(G61&gt;DATE(2021,3,31),0,DATEDIF(G61,MIN(H61,DATE(2021,3,31)),"m")+1))</f>
        <v/>
      </c>
      <c r="J61">
        <f>IF(OR(G61="",H61=""),"",IF(H61&lt;DATE(2021,4,1),0,DATEDIF(MAX(G61,DATE(2021,4,1)),H61,"m")+1))</f>
        <v/>
      </c>
      <c r="K61" s="6">
        <f>IF(I61="","",I61*F61)</f>
        <v/>
      </c>
      <c r="L61" s="6">
        <f>IF(J61="","",J61*F61*2)</f>
        <v/>
      </c>
      <c r="M61" s="6" t="n"/>
      <c r="N61" s="6" t="n"/>
      <c r="O61" s="6">
        <f>IF(K61="","",MAX(0,K61+L61-N(M61))+N(N61))</f>
        <v/>
      </c>
      <c r="P61" s="8">
        <f>IF(A61="","",0.3)</f>
        <v/>
      </c>
      <c r="Q61" s="6">
        <f>IF(O61="","",O61*P61)</f>
        <v/>
      </c>
      <c r="R61" s="6">
        <f>IF(O61="","",IF(E61="Vara Cível",O61*0.15,0))</f>
        <v/>
      </c>
      <c r="S61" s="6">
        <f>IF(O61="","",Q61+R61)</f>
        <v/>
      </c>
      <c r="T61">
        <f>IF(G61="","",IF(G61&lt;EDATE(TODAY(),-120),"⚠ mais de 10 anos — cortar janela",""))</f>
        <v/>
      </c>
    </row>
    <row r="62">
      <c r="F62" s="6" t="n"/>
      <c r="G62" s="7" t="n"/>
      <c r="H62" s="7" t="n"/>
      <c r="I62">
        <f>IF(OR(G62="",H62=""),"",IF(G62&gt;DATE(2021,3,31),0,DATEDIF(G62,MIN(H62,DATE(2021,3,31)),"m")+1))</f>
        <v/>
      </c>
      <c r="J62">
        <f>IF(OR(G62="",H62=""),"",IF(H62&lt;DATE(2021,4,1),0,DATEDIF(MAX(G62,DATE(2021,4,1)),H62,"m")+1))</f>
        <v/>
      </c>
      <c r="K62" s="6">
        <f>IF(I62="","",I62*F62)</f>
        <v/>
      </c>
      <c r="L62" s="6">
        <f>IF(J62="","",J62*F62*2)</f>
        <v/>
      </c>
      <c r="M62" s="6" t="n"/>
      <c r="N62" s="6" t="n"/>
      <c r="O62" s="6">
        <f>IF(K62="","",MAX(0,K62+L62-N(M62))+N(N62))</f>
        <v/>
      </c>
      <c r="P62" s="8">
        <f>IF(A62="","",0.3)</f>
        <v/>
      </c>
      <c r="Q62" s="6">
        <f>IF(O62="","",O62*P62)</f>
        <v/>
      </c>
      <c r="R62" s="6">
        <f>IF(O62="","",IF(E62="Vara Cível",O62*0.15,0))</f>
        <v/>
      </c>
      <c r="S62" s="6">
        <f>IF(O62="","",Q62+R62)</f>
        <v/>
      </c>
      <c r="T62">
        <f>IF(G62="","",IF(G62&lt;EDATE(TODAY(),-120),"⚠ mais de 10 anos — cortar janela",""))</f>
        <v/>
      </c>
    </row>
    <row r="63">
      <c r="F63" s="6" t="n"/>
      <c r="G63" s="7" t="n"/>
      <c r="H63" s="7" t="n"/>
      <c r="I63">
        <f>IF(OR(G63="",H63=""),"",IF(G63&gt;DATE(2021,3,31),0,DATEDIF(G63,MIN(H63,DATE(2021,3,31)),"m")+1))</f>
        <v/>
      </c>
      <c r="J63">
        <f>IF(OR(G63="",H63=""),"",IF(H63&lt;DATE(2021,4,1),0,DATEDIF(MAX(G63,DATE(2021,4,1)),H63,"m")+1))</f>
        <v/>
      </c>
      <c r="K63" s="6">
        <f>IF(I63="","",I63*F63)</f>
        <v/>
      </c>
      <c r="L63" s="6">
        <f>IF(J63="","",J63*F63*2)</f>
        <v/>
      </c>
      <c r="M63" s="6" t="n"/>
      <c r="N63" s="6" t="n"/>
      <c r="O63" s="6">
        <f>IF(K63="","",MAX(0,K63+L63-N(M63))+N(N63))</f>
        <v/>
      </c>
      <c r="P63" s="8">
        <f>IF(A63="","",0.3)</f>
        <v/>
      </c>
      <c r="Q63" s="6">
        <f>IF(O63="","",O63*P63)</f>
        <v/>
      </c>
      <c r="R63" s="6">
        <f>IF(O63="","",IF(E63="Vara Cível",O63*0.15,0))</f>
        <v/>
      </c>
      <c r="S63" s="6">
        <f>IF(O63="","",Q63+R63)</f>
        <v/>
      </c>
      <c r="T63">
        <f>IF(G63="","",IF(G63&lt;EDATE(TODAY(),-120),"⚠ mais de 10 anos — cortar janela",""))</f>
        <v/>
      </c>
    </row>
    <row r="64">
      <c r="F64" s="6" t="n"/>
      <c r="G64" s="7" t="n"/>
      <c r="H64" s="7" t="n"/>
      <c r="I64">
        <f>IF(OR(G64="",H64=""),"",IF(G64&gt;DATE(2021,3,31),0,DATEDIF(G64,MIN(H64,DATE(2021,3,31)),"m")+1))</f>
        <v/>
      </c>
      <c r="J64">
        <f>IF(OR(G64="",H64=""),"",IF(H64&lt;DATE(2021,4,1),0,DATEDIF(MAX(G64,DATE(2021,4,1)),H64,"m")+1))</f>
        <v/>
      </c>
      <c r="K64" s="6">
        <f>IF(I64="","",I64*F64)</f>
        <v/>
      </c>
      <c r="L64" s="6">
        <f>IF(J64="","",J64*F64*2)</f>
        <v/>
      </c>
      <c r="M64" s="6" t="n"/>
      <c r="N64" s="6" t="n"/>
      <c r="O64" s="6">
        <f>IF(K64="","",MAX(0,K64+L64-N(M64))+N(N64))</f>
        <v/>
      </c>
      <c r="P64" s="8">
        <f>IF(A64="","",0.3)</f>
        <v/>
      </c>
      <c r="Q64" s="6">
        <f>IF(O64="","",O64*P64)</f>
        <v/>
      </c>
      <c r="R64" s="6">
        <f>IF(O64="","",IF(E64="Vara Cível",O64*0.15,0))</f>
        <v/>
      </c>
      <c r="S64" s="6">
        <f>IF(O64="","",Q64+R64)</f>
        <v/>
      </c>
      <c r="T64">
        <f>IF(G64="","",IF(G64&lt;EDATE(TODAY(),-120),"⚠ mais de 10 anos — cortar janela",""))</f>
        <v/>
      </c>
    </row>
    <row r="65">
      <c r="F65" s="6" t="n"/>
      <c r="G65" s="7" t="n"/>
      <c r="H65" s="7" t="n"/>
      <c r="I65">
        <f>IF(OR(G65="",H65=""),"",IF(G65&gt;DATE(2021,3,31),0,DATEDIF(G65,MIN(H65,DATE(2021,3,31)),"m")+1))</f>
        <v/>
      </c>
      <c r="J65">
        <f>IF(OR(G65="",H65=""),"",IF(H65&lt;DATE(2021,4,1),0,DATEDIF(MAX(G65,DATE(2021,4,1)),H65,"m")+1))</f>
        <v/>
      </c>
      <c r="K65" s="6">
        <f>IF(I65="","",I65*F65)</f>
        <v/>
      </c>
      <c r="L65" s="6">
        <f>IF(J65="","",J65*F65*2)</f>
        <v/>
      </c>
      <c r="M65" s="6" t="n"/>
      <c r="N65" s="6" t="n"/>
      <c r="O65" s="6">
        <f>IF(K65="","",MAX(0,K65+L65-N(M65))+N(N65))</f>
        <v/>
      </c>
      <c r="P65" s="8">
        <f>IF(A65="","",0.3)</f>
        <v/>
      </c>
      <c r="Q65" s="6">
        <f>IF(O65="","",O65*P65)</f>
        <v/>
      </c>
      <c r="R65" s="6">
        <f>IF(O65="","",IF(E65="Vara Cível",O65*0.15,0))</f>
        <v/>
      </c>
      <c r="S65" s="6">
        <f>IF(O65="","",Q65+R65)</f>
        <v/>
      </c>
      <c r="T65">
        <f>IF(G65="","",IF(G65&lt;EDATE(TODAY(),-120),"⚠ mais de 10 anos — cortar janela",""))</f>
        <v/>
      </c>
    </row>
    <row r="66">
      <c r="F66" s="6" t="n"/>
      <c r="G66" s="7" t="n"/>
      <c r="H66" s="7" t="n"/>
      <c r="I66">
        <f>IF(OR(G66="",H66=""),"",IF(G66&gt;DATE(2021,3,31),0,DATEDIF(G66,MIN(H66,DATE(2021,3,31)),"m")+1))</f>
        <v/>
      </c>
      <c r="J66">
        <f>IF(OR(G66="",H66=""),"",IF(H66&lt;DATE(2021,4,1),0,DATEDIF(MAX(G66,DATE(2021,4,1)),H66,"m")+1))</f>
        <v/>
      </c>
      <c r="K66" s="6">
        <f>IF(I66="","",I66*F66)</f>
        <v/>
      </c>
      <c r="L66" s="6">
        <f>IF(J66="","",J66*F66*2)</f>
        <v/>
      </c>
      <c r="M66" s="6" t="n"/>
      <c r="N66" s="6" t="n"/>
      <c r="O66" s="6">
        <f>IF(K66="","",MAX(0,K66+L66-N(M66))+N(N66))</f>
        <v/>
      </c>
      <c r="P66" s="8">
        <f>IF(A66="","",0.3)</f>
        <v/>
      </c>
      <c r="Q66" s="6">
        <f>IF(O66="","",O66*P66)</f>
        <v/>
      </c>
      <c r="R66" s="6">
        <f>IF(O66="","",IF(E66="Vara Cível",O66*0.15,0))</f>
        <v/>
      </c>
      <c r="S66" s="6">
        <f>IF(O66="","",Q66+R66)</f>
        <v/>
      </c>
      <c r="T66">
        <f>IF(G66="","",IF(G66&lt;EDATE(TODAY(),-120),"⚠ mais de 10 anos — cortar janela",""))</f>
        <v/>
      </c>
    </row>
    <row r="67">
      <c r="F67" s="6" t="n"/>
      <c r="G67" s="7" t="n"/>
      <c r="H67" s="7" t="n"/>
      <c r="I67">
        <f>IF(OR(G67="",H67=""),"",IF(G67&gt;DATE(2021,3,31),0,DATEDIF(G67,MIN(H67,DATE(2021,3,31)),"m")+1))</f>
        <v/>
      </c>
      <c r="J67">
        <f>IF(OR(G67="",H67=""),"",IF(H67&lt;DATE(2021,4,1),0,DATEDIF(MAX(G67,DATE(2021,4,1)),H67,"m")+1))</f>
        <v/>
      </c>
      <c r="K67" s="6">
        <f>IF(I67="","",I67*F67)</f>
        <v/>
      </c>
      <c r="L67" s="6">
        <f>IF(J67="","",J67*F67*2)</f>
        <v/>
      </c>
      <c r="M67" s="6" t="n"/>
      <c r="N67" s="6" t="n"/>
      <c r="O67" s="6">
        <f>IF(K67="","",MAX(0,K67+L67-N(M67))+N(N67))</f>
        <v/>
      </c>
      <c r="P67" s="8">
        <f>IF(A67="","",0.3)</f>
        <v/>
      </c>
      <c r="Q67" s="6">
        <f>IF(O67="","",O67*P67)</f>
        <v/>
      </c>
      <c r="R67" s="6">
        <f>IF(O67="","",IF(E67="Vara Cível",O67*0.15,0))</f>
        <v/>
      </c>
      <c r="S67" s="6">
        <f>IF(O67="","",Q67+R67)</f>
        <v/>
      </c>
      <c r="T67">
        <f>IF(G67="","",IF(G67&lt;EDATE(TODAY(),-120),"⚠ mais de 10 anos — cortar janela",""))</f>
        <v/>
      </c>
    </row>
    <row r="68">
      <c r="F68" s="6" t="n"/>
      <c r="G68" s="7" t="n"/>
      <c r="H68" s="7" t="n"/>
      <c r="I68">
        <f>IF(OR(G68="",H68=""),"",IF(G68&gt;DATE(2021,3,31),0,DATEDIF(G68,MIN(H68,DATE(2021,3,31)),"m")+1))</f>
        <v/>
      </c>
      <c r="J68">
        <f>IF(OR(G68="",H68=""),"",IF(H68&lt;DATE(2021,4,1),0,DATEDIF(MAX(G68,DATE(2021,4,1)),H68,"m")+1))</f>
        <v/>
      </c>
      <c r="K68" s="6">
        <f>IF(I68="","",I68*F68)</f>
        <v/>
      </c>
      <c r="L68" s="6">
        <f>IF(J68="","",J68*F68*2)</f>
        <v/>
      </c>
      <c r="M68" s="6" t="n"/>
      <c r="N68" s="6" t="n"/>
      <c r="O68" s="6">
        <f>IF(K68="","",MAX(0,K68+L68-N(M68))+N(N68))</f>
        <v/>
      </c>
      <c r="P68" s="8">
        <f>IF(A68="","",0.3)</f>
        <v/>
      </c>
      <c r="Q68" s="6">
        <f>IF(O68="","",O68*P68)</f>
        <v/>
      </c>
      <c r="R68" s="6">
        <f>IF(O68="","",IF(E68="Vara Cível",O68*0.15,0))</f>
        <v/>
      </c>
      <c r="S68" s="6">
        <f>IF(O68="","",Q68+R68)</f>
        <v/>
      </c>
      <c r="T68">
        <f>IF(G68="","",IF(G68&lt;EDATE(TODAY(),-120),"⚠ mais de 10 anos — cortar janela",""))</f>
        <v/>
      </c>
    </row>
    <row r="69">
      <c r="F69" s="6" t="n"/>
      <c r="G69" s="7" t="n"/>
      <c r="H69" s="7" t="n"/>
      <c r="I69">
        <f>IF(OR(G69="",H69=""),"",IF(G69&gt;DATE(2021,3,31),0,DATEDIF(G69,MIN(H69,DATE(2021,3,31)),"m")+1))</f>
        <v/>
      </c>
      <c r="J69">
        <f>IF(OR(G69="",H69=""),"",IF(H69&lt;DATE(2021,4,1),0,DATEDIF(MAX(G69,DATE(2021,4,1)),H69,"m")+1))</f>
        <v/>
      </c>
      <c r="K69" s="6">
        <f>IF(I69="","",I69*F69)</f>
        <v/>
      </c>
      <c r="L69" s="6">
        <f>IF(J69="","",J69*F69*2)</f>
        <v/>
      </c>
      <c r="M69" s="6" t="n"/>
      <c r="N69" s="6" t="n"/>
      <c r="O69" s="6">
        <f>IF(K69="","",MAX(0,K69+L69-N(M69))+N(N69))</f>
        <v/>
      </c>
      <c r="P69" s="8">
        <f>IF(A69="","",0.3)</f>
        <v/>
      </c>
      <c r="Q69" s="6">
        <f>IF(O69="","",O69*P69)</f>
        <v/>
      </c>
      <c r="R69" s="6">
        <f>IF(O69="","",IF(E69="Vara Cível",O69*0.15,0))</f>
        <v/>
      </c>
      <c r="S69" s="6">
        <f>IF(O69="","",Q69+R69)</f>
        <v/>
      </c>
      <c r="T69">
        <f>IF(G69="","",IF(G69&lt;EDATE(TODAY(),-120),"⚠ mais de 10 anos — cortar janela",""))</f>
        <v/>
      </c>
    </row>
    <row r="70">
      <c r="F70" s="6" t="n"/>
      <c r="G70" s="7" t="n"/>
      <c r="H70" s="7" t="n"/>
      <c r="I70">
        <f>IF(OR(G70="",H70=""),"",IF(G70&gt;DATE(2021,3,31),0,DATEDIF(G70,MIN(H70,DATE(2021,3,31)),"m")+1))</f>
        <v/>
      </c>
      <c r="J70">
        <f>IF(OR(G70="",H70=""),"",IF(H70&lt;DATE(2021,4,1),0,DATEDIF(MAX(G70,DATE(2021,4,1)),H70,"m")+1))</f>
        <v/>
      </c>
      <c r="K70" s="6">
        <f>IF(I70="","",I70*F70)</f>
        <v/>
      </c>
      <c r="L70" s="6">
        <f>IF(J70="","",J70*F70*2)</f>
        <v/>
      </c>
      <c r="M70" s="6" t="n"/>
      <c r="N70" s="6" t="n"/>
      <c r="O70" s="6">
        <f>IF(K70="","",MAX(0,K70+L70-N(M70))+N(N70))</f>
        <v/>
      </c>
      <c r="P70" s="8">
        <f>IF(A70="","",0.3)</f>
        <v/>
      </c>
      <c r="Q70" s="6">
        <f>IF(O70="","",O70*P70)</f>
        <v/>
      </c>
      <c r="R70" s="6">
        <f>IF(O70="","",IF(E70="Vara Cível",O70*0.15,0))</f>
        <v/>
      </c>
      <c r="S70" s="6">
        <f>IF(O70="","",Q70+R70)</f>
        <v/>
      </c>
      <c r="T70">
        <f>IF(G70="","",IF(G70&lt;EDATE(TODAY(),-120),"⚠ mais de 10 anos — cortar janela",""))</f>
        <v/>
      </c>
    </row>
    <row r="71">
      <c r="F71" s="6" t="n"/>
      <c r="G71" s="7" t="n"/>
      <c r="H71" s="7" t="n"/>
      <c r="I71">
        <f>IF(OR(G71="",H71=""),"",IF(G71&gt;DATE(2021,3,31),0,DATEDIF(G71,MIN(H71,DATE(2021,3,31)),"m")+1))</f>
        <v/>
      </c>
      <c r="J71">
        <f>IF(OR(G71="",H71=""),"",IF(H71&lt;DATE(2021,4,1),0,DATEDIF(MAX(G71,DATE(2021,4,1)),H71,"m")+1))</f>
        <v/>
      </c>
      <c r="K71" s="6">
        <f>IF(I71="","",I71*F71)</f>
        <v/>
      </c>
      <c r="L71" s="6">
        <f>IF(J71="","",J71*F71*2)</f>
        <v/>
      </c>
      <c r="M71" s="6" t="n"/>
      <c r="N71" s="6" t="n"/>
      <c r="O71" s="6">
        <f>IF(K71="","",MAX(0,K71+L71-N(M71))+N(N71))</f>
        <v/>
      </c>
      <c r="P71" s="8">
        <f>IF(A71="","",0.3)</f>
        <v/>
      </c>
      <c r="Q71" s="6">
        <f>IF(O71="","",O71*P71)</f>
        <v/>
      </c>
      <c r="R71" s="6">
        <f>IF(O71="","",IF(E71="Vara Cível",O71*0.15,0))</f>
        <v/>
      </c>
      <c r="S71" s="6">
        <f>IF(O71="","",Q71+R71)</f>
        <v/>
      </c>
      <c r="T71">
        <f>IF(G71="","",IF(G71&lt;EDATE(TODAY(),-120),"⚠ mais de 10 anos — cortar janela",""))</f>
        <v/>
      </c>
    </row>
    <row r="72">
      <c r="F72" s="6" t="n"/>
      <c r="G72" s="7" t="n"/>
      <c r="H72" s="7" t="n"/>
      <c r="I72">
        <f>IF(OR(G72="",H72=""),"",IF(G72&gt;DATE(2021,3,31),0,DATEDIF(G72,MIN(H72,DATE(2021,3,31)),"m")+1))</f>
        <v/>
      </c>
      <c r="J72">
        <f>IF(OR(G72="",H72=""),"",IF(H72&lt;DATE(2021,4,1),0,DATEDIF(MAX(G72,DATE(2021,4,1)),H72,"m")+1))</f>
        <v/>
      </c>
      <c r="K72" s="6">
        <f>IF(I72="","",I72*F72)</f>
        <v/>
      </c>
      <c r="L72" s="6">
        <f>IF(J72="","",J72*F72*2)</f>
        <v/>
      </c>
      <c r="M72" s="6" t="n"/>
      <c r="N72" s="6" t="n"/>
      <c r="O72" s="6">
        <f>IF(K72="","",MAX(0,K72+L72-N(M72))+N(N72))</f>
        <v/>
      </c>
      <c r="P72" s="8">
        <f>IF(A72="","",0.3)</f>
        <v/>
      </c>
      <c r="Q72" s="6">
        <f>IF(O72="","",O72*P72)</f>
        <v/>
      </c>
      <c r="R72" s="6">
        <f>IF(O72="","",IF(E72="Vara Cível",O72*0.15,0))</f>
        <v/>
      </c>
      <c r="S72" s="6">
        <f>IF(O72="","",Q72+R72)</f>
        <v/>
      </c>
      <c r="T72">
        <f>IF(G72="","",IF(G72&lt;EDATE(TODAY(),-120),"⚠ mais de 10 anos — cortar janela",""))</f>
        <v/>
      </c>
    </row>
    <row r="73">
      <c r="F73" s="6" t="n"/>
      <c r="G73" s="7" t="n"/>
      <c r="H73" s="7" t="n"/>
      <c r="I73">
        <f>IF(OR(G73="",H73=""),"",IF(G73&gt;DATE(2021,3,31),0,DATEDIF(G73,MIN(H73,DATE(2021,3,31)),"m")+1))</f>
        <v/>
      </c>
      <c r="J73">
        <f>IF(OR(G73="",H73=""),"",IF(H73&lt;DATE(2021,4,1),0,DATEDIF(MAX(G73,DATE(2021,4,1)),H73,"m")+1))</f>
        <v/>
      </c>
      <c r="K73" s="6">
        <f>IF(I73="","",I73*F73)</f>
        <v/>
      </c>
      <c r="L73" s="6">
        <f>IF(J73="","",J73*F73*2)</f>
        <v/>
      </c>
      <c r="M73" s="6" t="n"/>
      <c r="N73" s="6" t="n"/>
      <c r="O73" s="6">
        <f>IF(K73="","",MAX(0,K73+L73-N(M73))+N(N73))</f>
        <v/>
      </c>
      <c r="P73" s="8">
        <f>IF(A73="","",0.3)</f>
        <v/>
      </c>
      <c r="Q73" s="6">
        <f>IF(O73="","",O73*P73)</f>
        <v/>
      </c>
      <c r="R73" s="6">
        <f>IF(O73="","",IF(E73="Vara Cível",O73*0.15,0))</f>
        <v/>
      </c>
      <c r="S73" s="6">
        <f>IF(O73="","",Q73+R73)</f>
        <v/>
      </c>
      <c r="T73">
        <f>IF(G73="","",IF(G73&lt;EDATE(TODAY(),-120),"⚠ mais de 10 anos — cortar janela",""))</f>
        <v/>
      </c>
    </row>
    <row r="74">
      <c r="F74" s="6" t="n"/>
      <c r="G74" s="7" t="n"/>
      <c r="H74" s="7" t="n"/>
      <c r="I74">
        <f>IF(OR(G74="",H74=""),"",IF(G74&gt;DATE(2021,3,31),0,DATEDIF(G74,MIN(H74,DATE(2021,3,31)),"m")+1))</f>
        <v/>
      </c>
      <c r="J74">
        <f>IF(OR(G74="",H74=""),"",IF(H74&lt;DATE(2021,4,1),0,DATEDIF(MAX(G74,DATE(2021,4,1)),H74,"m")+1))</f>
        <v/>
      </c>
      <c r="K74" s="6">
        <f>IF(I74="","",I74*F74)</f>
        <v/>
      </c>
      <c r="L74" s="6">
        <f>IF(J74="","",J74*F74*2)</f>
        <v/>
      </c>
      <c r="M74" s="6" t="n"/>
      <c r="N74" s="6" t="n"/>
      <c r="O74" s="6">
        <f>IF(K74="","",MAX(0,K74+L74-N(M74))+N(N74))</f>
        <v/>
      </c>
      <c r="P74" s="8">
        <f>IF(A74="","",0.3)</f>
        <v/>
      </c>
      <c r="Q74" s="6">
        <f>IF(O74="","",O74*P74)</f>
        <v/>
      </c>
      <c r="R74" s="6">
        <f>IF(O74="","",IF(E74="Vara Cível",O74*0.15,0))</f>
        <v/>
      </c>
      <c r="S74" s="6">
        <f>IF(O74="","",Q74+R74)</f>
        <v/>
      </c>
      <c r="T74">
        <f>IF(G74="","",IF(G74&lt;EDATE(TODAY(),-120),"⚠ mais de 10 anos — cortar janela",""))</f>
        <v/>
      </c>
    </row>
    <row r="75">
      <c r="F75" s="6" t="n"/>
      <c r="G75" s="7" t="n"/>
      <c r="H75" s="7" t="n"/>
      <c r="I75">
        <f>IF(OR(G75="",H75=""),"",IF(G75&gt;DATE(2021,3,31),0,DATEDIF(G75,MIN(H75,DATE(2021,3,31)),"m")+1))</f>
        <v/>
      </c>
      <c r="J75">
        <f>IF(OR(G75="",H75=""),"",IF(H75&lt;DATE(2021,4,1),0,DATEDIF(MAX(G75,DATE(2021,4,1)),H75,"m")+1))</f>
        <v/>
      </c>
      <c r="K75" s="6">
        <f>IF(I75="","",I75*F75)</f>
        <v/>
      </c>
      <c r="L75" s="6">
        <f>IF(J75="","",J75*F75*2)</f>
        <v/>
      </c>
      <c r="M75" s="6" t="n"/>
      <c r="N75" s="6" t="n"/>
      <c r="O75" s="6">
        <f>IF(K75="","",MAX(0,K75+L75-N(M75))+N(N75))</f>
        <v/>
      </c>
      <c r="P75" s="8">
        <f>IF(A75="","",0.3)</f>
        <v/>
      </c>
      <c r="Q75" s="6">
        <f>IF(O75="","",O75*P75)</f>
        <v/>
      </c>
      <c r="R75" s="6">
        <f>IF(O75="","",IF(E75="Vara Cível",O75*0.15,0))</f>
        <v/>
      </c>
      <c r="S75" s="6">
        <f>IF(O75="","",Q75+R75)</f>
        <v/>
      </c>
      <c r="T75">
        <f>IF(G75="","",IF(G75&lt;EDATE(TODAY(),-120),"⚠ mais de 10 anos — cortar janela",""))</f>
        <v/>
      </c>
    </row>
    <row r="76">
      <c r="F76" s="6" t="n"/>
      <c r="G76" s="7" t="n"/>
      <c r="H76" s="7" t="n"/>
      <c r="I76">
        <f>IF(OR(G76="",H76=""),"",IF(G76&gt;DATE(2021,3,31),0,DATEDIF(G76,MIN(H76,DATE(2021,3,31)),"m")+1))</f>
        <v/>
      </c>
      <c r="J76">
        <f>IF(OR(G76="",H76=""),"",IF(H76&lt;DATE(2021,4,1),0,DATEDIF(MAX(G76,DATE(2021,4,1)),H76,"m")+1))</f>
        <v/>
      </c>
      <c r="K76" s="6">
        <f>IF(I76="","",I76*F76)</f>
        <v/>
      </c>
      <c r="L76" s="6">
        <f>IF(J76="","",J76*F76*2)</f>
        <v/>
      </c>
      <c r="M76" s="6" t="n"/>
      <c r="N76" s="6" t="n"/>
      <c r="O76" s="6">
        <f>IF(K76="","",MAX(0,K76+L76-N(M76))+N(N76))</f>
        <v/>
      </c>
      <c r="P76" s="8">
        <f>IF(A76="","",0.3)</f>
        <v/>
      </c>
      <c r="Q76" s="6">
        <f>IF(O76="","",O76*P76)</f>
        <v/>
      </c>
      <c r="R76" s="6">
        <f>IF(O76="","",IF(E76="Vara Cível",O76*0.15,0))</f>
        <v/>
      </c>
      <c r="S76" s="6">
        <f>IF(O76="","",Q76+R76)</f>
        <v/>
      </c>
      <c r="T76">
        <f>IF(G76="","",IF(G76&lt;EDATE(TODAY(),-120),"⚠ mais de 10 anos — cortar janela",""))</f>
        <v/>
      </c>
    </row>
    <row r="77">
      <c r="F77" s="6" t="n"/>
      <c r="G77" s="7" t="n"/>
      <c r="H77" s="7" t="n"/>
      <c r="I77">
        <f>IF(OR(G77="",H77=""),"",IF(G77&gt;DATE(2021,3,31),0,DATEDIF(G77,MIN(H77,DATE(2021,3,31)),"m")+1))</f>
        <v/>
      </c>
      <c r="J77">
        <f>IF(OR(G77="",H77=""),"",IF(H77&lt;DATE(2021,4,1),0,DATEDIF(MAX(G77,DATE(2021,4,1)),H77,"m")+1))</f>
        <v/>
      </c>
      <c r="K77" s="6">
        <f>IF(I77="","",I77*F77)</f>
        <v/>
      </c>
      <c r="L77" s="6">
        <f>IF(J77="","",J77*F77*2)</f>
        <v/>
      </c>
      <c r="M77" s="6" t="n"/>
      <c r="N77" s="6" t="n"/>
      <c r="O77" s="6">
        <f>IF(K77="","",MAX(0,K77+L77-N(M77))+N(N77))</f>
        <v/>
      </c>
      <c r="P77" s="8">
        <f>IF(A77="","",0.3)</f>
        <v/>
      </c>
      <c r="Q77" s="6">
        <f>IF(O77="","",O77*P77)</f>
        <v/>
      </c>
      <c r="R77" s="6">
        <f>IF(O77="","",IF(E77="Vara Cível",O77*0.15,0))</f>
        <v/>
      </c>
      <c r="S77" s="6">
        <f>IF(O77="","",Q77+R77)</f>
        <v/>
      </c>
      <c r="T77">
        <f>IF(G77="","",IF(G77&lt;EDATE(TODAY(),-120),"⚠ mais de 10 anos — cortar janela",""))</f>
        <v/>
      </c>
    </row>
    <row r="78">
      <c r="F78" s="6" t="n"/>
      <c r="G78" s="7" t="n"/>
      <c r="H78" s="7" t="n"/>
      <c r="I78">
        <f>IF(OR(G78="",H78=""),"",IF(G78&gt;DATE(2021,3,31),0,DATEDIF(G78,MIN(H78,DATE(2021,3,31)),"m")+1))</f>
        <v/>
      </c>
      <c r="J78">
        <f>IF(OR(G78="",H78=""),"",IF(H78&lt;DATE(2021,4,1),0,DATEDIF(MAX(G78,DATE(2021,4,1)),H78,"m")+1))</f>
        <v/>
      </c>
      <c r="K78" s="6">
        <f>IF(I78="","",I78*F78)</f>
        <v/>
      </c>
      <c r="L78" s="6">
        <f>IF(J78="","",J78*F78*2)</f>
        <v/>
      </c>
      <c r="M78" s="6" t="n"/>
      <c r="N78" s="6" t="n"/>
      <c r="O78" s="6">
        <f>IF(K78="","",MAX(0,K78+L78-N(M78))+N(N78))</f>
        <v/>
      </c>
      <c r="P78" s="8">
        <f>IF(A78="","",0.3)</f>
        <v/>
      </c>
      <c r="Q78" s="6">
        <f>IF(O78="","",O78*P78)</f>
        <v/>
      </c>
      <c r="R78" s="6">
        <f>IF(O78="","",IF(E78="Vara Cível",O78*0.15,0))</f>
        <v/>
      </c>
      <c r="S78" s="6">
        <f>IF(O78="","",Q78+R78)</f>
        <v/>
      </c>
      <c r="T78">
        <f>IF(G78="","",IF(G78&lt;EDATE(TODAY(),-120),"⚠ mais de 10 anos — cortar janela",""))</f>
        <v/>
      </c>
    </row>
    <row r="79">
      <c r="F79" s="6" t="n"/>
      <c r="G79" s="7" t="n"/>
      <c r="H79" s="7" t="n"/>
      <c r="I79">
        <f>IF(OR(G79="",H79=""),"",IF(G79&gt;DATE(2021,3,31),0,DATEDIF(G79,MIN(H79,DATE(2021,3,31)),"m")+1))</f>
        <v/>
      </c>
      <c r="J79">
        <f>IF(OR(G79="",H79=""),"",IF(H79&lt;DATE(2021,4,1),0,DATEDIF(MAX(G79,DATE(2021,4,1)),H79,"m")+1))</f>
        <v/>
      </c>
      <c r="K79" s="6">
        <f>IF(I79="","",I79*F79)</f>
        <v/>
      </c>
      <c r="L79" s="6">
        <f>IF(J79="","",J79*F79*2)</f>
        <v/>
      </c>
      <c r="M79" s="6" t="n"/>
      <c r="N79" s="6" t="n"/>
      <c r="O79" s="6">
        <f>IF(K79="","",MAX(0,K79+L79-N(M79))+N(N79))</f>
        <v/>
      </c>
      <c r="P79" s="8">
        <f>IF(A79="","",0.3)</f>
        <v/>
      </c>
      <c r="Q79" s="6">
        <f>IF(O79="","",O79*P79)</f>
        <v/>
      </c>
      <c r="R79" s="6">
        <f>IF(O79="","",IF(E79="Vara Cível",O79*0.15,0))</f>
        <v/>
      </c>
      <c r="S79" s="6">
        <f>IF(O79="","",Q79+R79)</f>
        <v/>
      </c>
      <c r="T79">
        <f>IF(G79="","",IF(G79&lt;EDATE(TODAY(),-120),"⚠ mais de 10 anos — cortar janela",""))</f>
        <v/>
      </c>
    </row>
    <row r="80">
      <c r="F80" s="6" t="n"/>
      <c r="G80" s="7" t="n"/>
      <c r="H80" s="7" t="n"/>
      <c r="I80">
        <f>IF(OR(G80="",H80=""),"",IF(G80&gt;DATE(2021,3,31),0,DATEDIF(G80,MIN(H80,DATE(2021,3,31)),"m")+1))</f>
        <v/>
      </c>
      <c r="J80">
        <f>IF(OR(G80="",H80=""),"",IF(H80&lt;DATE(2021,4,1),0,DATEDIF(MAX(G80,DATE(2021,4,1)),H80,"m")+1))</f>
        <v/>
      </c>
      <c r="K80" s="6">
        <f>IF(I80="","",I80*F80)</f>
        <v/>
      </c>
      <c r="L80" s="6">
        <f>IF(J80="","",J80*F80*2)</f>
        <v/>
      </c>
      <c r="M80" s="6" t="n"/>
      <c r="N80" s="6" t="n"/>
      <c r="O80" s="6">
        <f>IF(K80="","",MAX(0,K80+L80-N(M80))+N(N80))</f>
        <v/>
      </c>
      <c r="P80" s="8">
        <f>IF(A80="","",0.3)</f>
        <v/>
      </c>
      <c r="Q80" s="6">
        <f>IF(O80="","",O80*P80)</f>
        <v/>
      </c>
      <c r="R80" s="6">
        <f>IF(O80="","",IF(E80="Vara Cível",O80*0.15,0))</f>
        <v/>
      </c>
      <c r="S80" s="6">
        <f>IF(O80="","",Q80+R80)</f>
        <v/>
      </c>
      <c r="T80">
        <f>IF(G80="","",IF(G80&lt;EDATE(TODAY(),-120),"⚠ mais de 10 anos — cortar janela",""))</f>
        <v/>
      </c>
    </row>
    <row r="81">
      <c r="F81" s="6" t="n"/>
      <c r="G81" s="7" t="n"/>
      <c r="H81" s="7" t="n"/>
      <c r="I81">
        <f>IF(OR(G81="",H81=""),"",IF(G81&gt;DATE(2021,3,31),0,DATEDIF(G81,MIN(H81,DATE(2021,3,31)),"m")+1))</f>
        <v/>
      </c>
      <c r="J81">
        <f>IF(OR(G81="",H81=""),"",IF(H81&lt;DATE(2021,4,1),0,DATEDIF(MAX(G81,DATE(2021,4,1)),H81,"m")+1))</f>
        <v/>
      </c>
      <c r="K81" s="6">
        <f>IF(I81="","",I81*F81)</f>
        <v/>
      </c>
      <c r="L81" s="6">
        <f>IF(J81="","",J81*F81*2)</f>
        <v/>
      </c>
      <c r="M81" s="6" t="n"/>
      <c r="N81" s="6" t="n"/>
      <c r="O81" s="6">
        <f>IF(K81="","",MAX(0,K81+L81-N(M81))+N(N81))</f>
        <v/>
      </c>
      <c r="P81" s="8">
        <f>IF(A81="","",0.3)</f>
        <v/>
      </c>
      <c r="Q81" s="6">
        <f>IF(O81="","",O81*P81)</f>
        <v/>
      </c>
      <c r="R81" s="6">
        <f>IF(O81="","",IF(E81="Vara Cível",O81*0.15,0))</f>
        <v/>
      </c>
      <c r="S81" s="6">
        <f>IF(O81="","",Q81+R81)</f>
        <v/>
      </c>
      <c r="T81">
        <f>IF(G81="","",IF(G81&lt;EDATE(TODAY(),-120),"⚠ mais de 10 anos — cortar janela",""))</f>
        <v/>
      </c>
    </row>
    <row r="82">
      <c r="F82" s="6" t="n"/>
      <c r="G82" s="7" t="n"/>
      <c r="H82" s="7" t="n"/>
      <c r="I82">
        <f>IF(OR(G82="",H82=""),"",IF(G82&gt;DATE(2021,3,31),0,DATEDIF(G82,MIN(H82,DATE(2021,3,31)),"m")+1))</f>
        <v/>
      </c>
      <c r="J82">
        <f>IF(OR(G82="",H82=""),"",IF(H82&lt;DATE(2021,4,1),0,DATEDIF(MAX(G82,DATE(2021,4,1)),H82,"m")+1))</f>
        <v/>
      </c>
      <c r="K82" s="6">
        <f>IF(I82="","",I82*F82)</f>
        <v/>
      </c>
      <c r="L82" s="6">
        <f>IF(J82="","",J82*F82*2)</f>
        <v/>
      </c>
      <c r="M82" s="6" t="n"/>
      <c r="N82" s="6" t="n"/>
      <c r="O82" s="6">
        <f>IF(K82="","",MAX(0,K82+L82-N(M82))+N(N82))</f>
        <v/>
      </c>
      <c r="P82" s="8">
        <f>IF(A82="","",0.3)</f>
        <v/>
      </c>
      <c r="Q82" s="6">
        <f>IF(O82="","",O82*P82)</f>
        <v/>
      </c>
      <c r="R82" s="6">
        <f>IF(O82="","",IF(E82="Vara Cível",O82*0.15,0))</f>
        <v/>
      </c>
      <c r="S82" s="6">
        <f>IF(O82="","",Q82+R82)</f>
        <v/>
      </c>
      <c r="T82">
        <f>IF(G82="","",IF(G82&lt;EDATE(TODAY(),-120),"⚠ mais de 10 anos — cortar janela",""))</f>
        <v/>
      </c>
    </row>
    <row r="83">
      <c r="F83" s="6" t="n"/>
      <c r="G83" s="7" t="n"/>
      <c r="H83" s="7" t="n"/>
      <c r="I83">
        <f>IF(OR(G83="",H83=""),"",IF(G83&gt;DATE(2021,3,31),0,DATEDIF(G83,MIN(H83,DATE(2021,3,31)),"m")+1))</f>
        <v/>
      </c>
      <c r="J83">
        <f>IF(OR(G83="",H83=""),"",IF(H83&lt;DATE(2021,4,1),0,DATEDIF(MAX(G83,DATE(2021,4,1)),H83,"m")+1))</f>
        <v/>
      </c>
      <c r="K83" s="6">
        <f>IF(I83="","",I83*F83)</f>
        <v/>
      </c>
      <c r="L83" s="6">
        <f>IF(J83="","",J83*F83*2)</f>
        <v/>
      </c>
      <c r="M83" s="6" t="n"/>
      <c r="N83" s="6" t="n"/>
      <c r="O83" s="6">
        <f>IF(K83="","",MAX(0,K83+L83-N(M83))+N(N83))</f>
        <v/>
      </c>
      <c r="P83" s="8">
        <f>IF(A83="","",0.3)</f>
        <v/>
      </c>
      <c r="Q83" s="6">
        <f>IF(O83="","",O83*P83)</f>
        <v/>
      </c>
      <c r="R83" s="6">
        <f>IF(O83="","",IF(E83="Vara Cível",O83*0.15,0))</f>
        <v/>
      </c>
      <c r="S83" s="6">
        <f>IF(O83="","",Q83+R83)</f>
        <v/>
      </c>
      <c r="T83">
        <f>IF(G83="","",IF(G83&lt;EDATE(TODAY(),-120),"⚠ mais de 10 anos — cortar janela",""))</f>
        <v/>
      </c>
    </row>
    <row r="84">
      <c r="F84" s="6" t="n"/>
      <c r="G84" s="7" t="n"/>
      <c r="H84" s="7" t="n"/>
      <c r="I84">
        <f>IF(OR(G84="",H84=""),"",IF(G84&gt;DATE(2021,3,31),0,DATEDIF(G84,MIN(H84,DATE(2021,3,31)),"m")+1))</f>
        <v/>
      </c>
      <c r="J84">
        <f>IF(OR(G84="",H84=""),"",IF(H84&lt;DATE(2021,4,1),0,DATEDIF(MAX(G84,DATE(2021,4,1)),H84,"m")+1))</f>
        <v/>
      </c>
      <c r="K84" s="6">
        <f>IF(I84="","",I84*F84)</f>
        <v/>
      </c>
      <c r="L84" s="6">
        <f>IF(J84="","",J84*F84*2)</f>
        <v/>
      </c>
      <c r="M84" s="6" t="n"/>
      <c r="N84" s="6" t="n"/>
      <c r="O84" s="6">
        <f>IF(K84="","",MAX(0,K84+L84-N(M84))+N(N84))</f>
        <v/>
      </c>
      <c r="P84" s="8">
        <f>IF(A84="","",0.3)</f>
        <v/>
      </c>
      <c r="Q84" s="6">
        <f>IF(O84="","",O84*P84)</f>
        <v/>
      </c>
      <c r="R84" s="6">
        <f>IF(O84="","",IF(E84="Vara Cível",O84*0.15,0))</f>
        <v/>
      </c>
      <c r="S84" s="6">
        <f>IF(O84="","",Q84+R84)</f>
        <v/>
      </c>
      <c r="T84">
        <f>IF(G84="","",IF(G84&lt;EDATE(TODAY(),-120),"⚠ mais de 10 anos — cortar janela",""))</f>
        <v/>
      </c>
    </row>
    <row r="85">
      <c r="F85" s="6" t="n"/>
      <c r="G85" s="7" t="n"/>
      <c r="H85" s="7" t="n"/>
      <c r="I85">
        <f>IF(OR(G85="",H85=""),"",IF(G85&gt;DATE(2021,3,31),0,DATEDIF(G85,MIN(H85,DATE(2021,3,31)),"m")+1))</f>
        <v/>
      </c>
      <c r="J85">
        <f>IF(OR(G85="",H85=""),"",IF(H85&lt;DATE(2021,4,1),0,DATEDIF(MAX(G85,DATE(2021,4,1)),H85,"m")+1))</f>
        <v/>
      </c>
      <c r="K85" s="6">
        <f>IF(I85="","",I85*F85)</f>
        <v/>
      </c>
      <c r="L85" s="6">
        <f>IF(J85="","",J85*F85*2)</f>
        <v/>
      </c>
      <c r="M85" s="6" t="n"/>
      <c r="N85" s="6" t="n"/>
      <c r="O85" s="6">
        <f>IF(K85="","",MAX(0,K85+L85-N(M85))+N(N85))</f>
        <v/>
      </c>
      <c r="P85" s="8">
        <f>IF(A85="","",0.3)</f>
        <v/>
      </c>
      <c r="Q85" s="6">
        <f>IF(O85="","",O85*P85)</f>
        <v/>
      </c>
      <c r="R85" s="6">
        <f>IF(O85="","",IF(E85="Vara Cível",O85*0.15,0))</f>
        <v/>
      </c>
      <c r="S85" s="6">
        <f>IF(O85="","",Q85+R85)</f>
        <v/>
      </c>
      <c r="T85">
        <f>IF(G85="","",IF(G85&lt;EDATE(TODAY(),-120),"⚠ mais de 10 anos — cortar janela",""))</f>
        <v/>
      </c>
    </row>
    <row r="86">
      <c r="F86" s="6" t="n"/>
      <c r="G86" s="7" t="n"/>
      <c r="H86" s="7" t="n"/>
      <c r="I86">
        <f>IF(OR(G86="",H86=""),"",IF(G86&gt;DATE(2021,3,31),0,DATEDIF(G86,MIN(H86,DATE(2021,3,31)),"m")+1))</f>
        <v/>
      </c>
      <c r="J86">
        <f>IF(OR(G86="",H86=""),"",IF(H86&lt;DATE(2021,4,1),0,DATEDIF(MAX(G86,DATE(2021,4,1)),H86,"m")+1))</f>
        <v/>
      </c>
      <c r="K86" s="6">
        <f>IF(I86="","",I86*F86)</f>
        <v/>
      </c>
      <c r="L86" s="6">
        <f>IF(J86="","",J86*F86*2)</f>
        <v/>
      </c>
      <c r="M86" s="6" t="n"/>
      <c r="N86" s="6" t="n"/>
      <c r="O86" s="6">
        <f>IF(K86="","",MAX(0,K86+L86-N(M86))+N(N86))</f>
        <v/>
      </c>
      <c r="P86" s="8">
        <f>IF(A86="","",0.3)</f>
        <v/>
      </c>
      <c r="Q86" s="6">
        <f>IF(O86="","",O86*P86)</f>
        <v/>
      </c>
      <c r="R86" s="6">
        <f>IF(O86="","",IF(E86="Vara Cível",O86*0.15,0))</f>
        <v/>
      </c>
      <c r="S86" s="6">
        <f>IF(O86="","",Q86+R86)</f>
        <v/>
      </c>
      <c r="T86">
        <f>IF(G86="","",IF(G86&lt;EDATE(TODAY(),-120),"⚠ mais de 10 anos — cortar janela",""))</f>
        <v/>
      </c>
    </row>
    <row r="87">
      <c r="F87" s="6" t="n"/>
      <c r="G87" s="7" t="n"/>
      <c r="H87" s="7" t="n"/>
      <c r="I87">
        <f>IF(OR(G87="",H87=""),"",IF(G87&gt;DATE(2021,3,31),0,DATEDIF(G87,MIN(H87,DATE(2021,3,31)),"m")+1))</f>
        <v/>
      </c>
      <c r="J87">
        <f>IF(OR(G87="",H87=""),"",IF(H87&lt;DATE(2021,4,1),0,DATEDIF(MAX(G87,DATE(2021,4,1)),H87,"m")+1))</f>
        <v/>
      </c>
      <c r="K87" s="6">
        <f>IF(I87="","",I87*F87)</f>
        <v/>
      </c>
      <c r="L87" s="6">
        <f>IF(J87="","",J87*F87*2)</f>
        <v/>
      </c>
      <c r="M87" s="6" t="n"/>
      <c r="N87" s="6" t="n"/>
      <c r="O87" s="6">
        <f>IF(K87="","",MAX(0,K87+L87-N(M87))+N(N87))</f>
        <v/>
      </c>
      <c r="P87" s="8">
        <f>IF(A87="","",0.3)</f>
        <v/>
      </c>
      <c r="Q87" s="6">
        <f>IF(O87="","",O87*P87)</f>
        <v/>
      </c>
      <c r="R87" s="6">
        <f>IF(O87="","",IF(E87="Vara Cível",O87*0.15,0))</f>
        <v/>
      </c>
      <c r="S87" s="6">
        <f>IF(O87="","",Q87+R87)</f>
        <v/>
      </c>
      <c r="T87">
        <f>IF(G87="","",IF(G87&lt;EDATE(TODAY(),-120),"⚠ mais de 10 anos — cortar janela",""))</f>
        <v/>
      </c>
    </row>
    <row r="88">
      <c r="F88" s="6" t="n"/>
      <c r="G88" s="7" t="n"/>
      <c r="H88" s="7" t="n"/>
      <c r="I88">
        <f>IF(OR(G88="",H88=""),"",IF(G88&gt;DATE(2021,3,31),0,DATEDIF(G88,MIN(H88,DATE(2021,3,31)),"m")+1))</f>
        <v/>
      </c>
      <c r="J88">
        <f>IF(OR(G88="",H88=""),"",IF(H88&lt;DATE(2021,4,1),0,DATEDIF(MAX(G88,DATE(2021,4,1)),H88,"m")+1))</f>
        <v/>
      </c>
      <c r="K88" s="6">
        <f>IF(I88="","",I88*F88)</f>
        <v/>
      </c>
      <c r="L88" s="6">
        <f>IF(J88="","",J88*F88*2)</f>
        <v/>
      </c>
      <c r="M88" s="6" t="n"/>
      <c r="N88" s="6" t="n"/>
      <c r="O88" s="6">
        <f>IF(K88="","",MAX(0,K88+L88-N(M88))+N(N88))</f>
        <v/>
      </c>
      <c r="P88" s="8">
        <f>IF(A88="","",0.3)</f>
        <v/>
      </c>
      <c r="Q88" s="6">
        <f>IF(O88="","",O88*P88)</f>
        <v/>
      </c>
      <c r="R88" s="6">
        <f>IF(O88="","",IF(E88="Vara Cível",O88*0.15,0))</f>
        <v/>
      </c>
      <c r="S88" s="6">
        <f>IF(O88="","",Q88+R88)</f>
        <v/>
      </c>
      <c r="T88">
        <f>IF(G88="","",IF(G88&lt;EDATE(TODAY(),-120),"⚠ mais de 10 anos — cortar janela",""))</f>
        <v/>
      </c>
    </row>
    <row r="89">
      <c r="F89" s="6" t="n"/>
      <c r="G89" s="7" t="n"/>
      <c r="H89" s="7" t="n"/>
      <c r="I89">
        <f>IF(OR(G89="",H89=""),"",IF(G89&gt;DATE(2021,3,31),0,DATEDIF(G89,MIN(H89,DATE(2021,3,31)),"m")+1))</f>
        <v/>
      </c>
      <c r="J89">
        <f>IF(OR(G89="",H89=""),"",IF(H89&lt;DATE(2021,4,1),0,DATEDIF(MAX(G89,DATE(2021,4,1)),H89,"m")+1))</f>
        <v/>
      </c>
      <c r="K89" s="6">
        <f>IF(I89="","",I89*F89)</f>
        <v/>
      </c>
      <c r="L89" s="6">
        <f>IF(J89="","",J89*F89*2)</f>
        <v/>
      </c>
      <c r="M89" s="6" t="n"/>
      <c r="N89" s="6" t="n"/>
      <c r="O89" s="6">
        <f>IF(K89="","",MAX(0,K89+L89-N(M89))+N(N89))</f>
        <v/>
      </c>
      <c r="P89" s="8">
        <f>IF(A89="","",0.3)</f>
        <v/>
      </c>
      <c r="Q89" s="6">
        <f>IF(O89="","",O89*P89)</f>
        <v/>
      </c>
      <c r="R89" s="6">
        <f>IF(O89="","",IF(E89="Vara Cível",O89*0.15,0))</f>
        <v/>
      </c>
      <c r="S89" s="6">
        <f>IF(O89="","",Q89+R89)</f>
        <v/>
      </c>
      <c r="T89">
        <f>IF(G89="","",IF(G89&lt;EDATE(TODAY(),-120),"⚠ mais de 10 anos — cortar janela",""))</f>
        <v/>
      </c>
    </row>
    <row r="90">
      <c r="F90" s="6" t="n"/>
      <c r="G90" s="7" t="n"/>
      <c r="H90" s="7" t="n"/>
      <c r="I90">
        <f>IF(OR(G90="",H90=""),"",IF(G90&gt;DATE(2021,3,31),0,DATEDIF(G90,MIN(H90,DATE(2021,3,31)),"m")+1))</f>
        <v/>
      </c>
      <c r="J90">
        <f>IF(OR(G90="",H90=""),"",IF(H90&lt;DATE(2021,4,1),0,DATEDIF(MAX(G90,DATE(2021,4,1)),H90,"m")+1))</f>
        <v/>
      </c>
      <c r="K90" s="6">
        <f>IF(I90="","",I90*F90)</f>
        <v/>
      </c>
      <c r="L90" s="6">
        <f>IF(J90="","",J90*F90*2)</f>
        <v/>
      </c>
      <c r="M90" s="6" t="n"/>
      <c r="N90" s="6" t="n"/>
      <c r="O90" s="6">
        <f>IF(K90="","",MAX(0,K90+L90-N(M90))+N(N90))</f>
        <v/>
      </c>
      <c r="P90" s="8">
        <f>IF(A90="","",0.3)</f>
        <v/>
      </c>
      <c r="Q90" s="6">
        <f>IF(O90="","",O90*P90)</f>
        <v/>
      </c>
      <c r="R90" s="6">
        <f>IF(O90="","",IF(E90="Vara Cível",O90*0.15,0))</f>
        <v/>
      </c>
      <c r="S90" s="6">
        <f>IF(O90="","",Q90+R90)</f>
        <v/>
      </c>
      <c r="T90">
        <f>IF(G90="","",IF(G90&lt;EDATE(TODAY(),-120),"⚠ mais de 10 anos — cortar janela",""))</f>
        <v/>
      </c>
    </row>
    <row r="91">
      <c r="F91" s="6" t="n"/>
      <c r="G91" s="7" t="n"/>
      <c r="H91" s="7" t="n"/>
      <c r="I91">
        <f>IF(OR(G91="",H91=""),"",IF(G91&gt;DATE(2021,3,31),0,DATEDIF(G91,MIN(H91,DATE(2021,3,31)),"m")+1))</f>
        <v/>
      </c>
      <c r="J91">
        <f>IF(OR(G91="",H91=""),"",IF(H91&lt;DATE(2021,4,1),0,DATEDIF(MAX(G91,DATE(2021,4,1)),H91,"m")+1))</f>
        <v/>
      </c>
      <c r="K91" s="6">
        <f>IF(I91="","",I91*F91)</f>
        <v/>
      </c>
      <c r="L91" s="6">
        <f>IF(J91="","",J91*F91*2)</f>
        <v/>
      </c>
      <c r="M91" s="6" t="n"/>
      <c r="N91" s="6" t="n"/>
      <c r="O91" s="6">
        <f>IF(K91="","",MAX(0,K91+L91-N(M91))+N(N91))</f>
        <v/>
      </c>
      <c r="P91" s="8">
        <f>IF(A91="","",0.3)</f>
        <v/>
      </c>
      <c r="Q91" s="6">
        <f>IF(O91="","",O91*P91)</f>
        <v/>
      </c>
      <c r="R91" s="6">
        <f>IF(O91="","",IF(E91="Vara Cível",O91*0.15,0))</f>
        <v/>
      </c>
      <c r="S91" s="6">
        <f>IF(O91="","",Q91+R91)</f>
        <v/>
      </c>
      <c r="T91">
        <f>IF(G91="","",IF(G91&lt;EDATE(TODAY(),-120),"⚠ mais de 10 anos — cortar janela",""))</f>
        <v/>
      </c>
    </row>
    <row r="92">
      <c r="F92" s="6" t="n"/>
      <c r="G92" s="7" t="n"/>
      <c r="H92" s="7" t="n"/>
      <c r="I92">
        <f>IF(OR(G92="",H92=""),"",IF(G92&gt;DATE(2021,3,31),0,DATEDIF(G92,MIN(H92,DATE(2021,3,31)),"m")+1))</f>
        <v/>
      </c>
      <c r="J92">
        <f>IF(OR(G92="",H92=""),"",IF(H92&lt;DATE(2021,4,1),0,DATEDIF(MAX(G92,DATE(2021,4,1)),H92,"m")+1))</f>
        <v/>
      </c>
      <c r="K92" s="6">
        <f>IF(I92="","",I92*F92)</f>
        <v/>
      </c>
      <c r="L92" s="6">
        <f>IF(J92="","",J92*F92*2)</f>
        <v/>
      </c>
      <c r="M92" s="6" t="n"/>
      <c r="N92" s="6" t="n"/>
      <c r="O92" s="6">
        <f>IF(K92="","",MAX(0,K92+L92-N(M92))+N(N92))</f>
        <v/>
      </c>
      <c r="P92" s="8">
        <f>IF(A92="","",0.3)</f>
        <v/>
      </c>
      <c r="Q92" s="6">
        <f>IF(O92="","",O92*P92)</f>
        <v/>
      </c>
      <c r="R92" s="6">
        <f>IF(O92="","",IF(E92="Vara Cível",O92*0.15,0))</f>
        <v/>
      </c>
      <c r="S92" s="6">
        <f>IF(O92="","",Q92+R92)</f>
        <v/>
      </c>
      <c r="T92">
        <f>IF(G92="","",IF(G92&lt;EDATE(TODAY(),-120),"⚠ mais de 10 anos — cortar janela",""))</f>
        <v/>
      </c>
    </row>
    <row r="93">
      <c r="F93" s="6" t="n"/>
      <c r="G93" s="7" t="n"/>
      <c r="H93" s="7" t="n"/>
      <c r="I93">
        <f>IF(OR(G93="",H93=""),"",IF(G93&gt;DATE(2021,3,31),0,DATEDIF(G93,MIN(H93,DATE(2021,3,31)),"m")+1))</f>
        <v/>
      </c>
      <c r="J93">
        <f>IF(OR(G93="",H93=""),"",IF(H93&lt;DATE(2021,4,1),0,DATEDIF(MAX(G93,DATE(2021,4,1)),H93,"m")+1))</f>
        <v/>
      </c>
      <c r="K93" s="6">
        <f>IF(I93="","",I93*F93)</f>
        <v/>
      </c>
      <c r="L93" s="6">
        <f>IF(J93="","",J93*F93*2)</f>
        <v/>
      </c>
      <c r="M93" s="6" t="n"/>
      <c r="N93" s="6" t="n"/>
      <c r="O93" s="6">
        <f>IF(K93="","",MAX(0,K93+L93-N(M93))+N(N93))</f>
        <v/>
      </c>
      <c r="P93" s="8">
        <f>IF(A93="","",0.3)</f>
        <v/>
      </c>
      <c r="Q93" s="6">
        <f>IF(O93="","",O93*P93)</f>
        <v/>
      </c>
      <c r="R93" s="6">
        <f>IF(O93="","",IF(E93="Vara Cível",O93*0.15,0))</f>
        <v/>
      </c>
      <c r="S93" s="6">
        <f>IF(O93="","",Q93+R93)</f>
        <v/>
      </c>
      <c r="T93">
        <f>IF(G93="","",IF(G93&lt;EDATE(TODAY(),-120),"⚠ mais de 10 anos — cortar janela",""))</f>
        <v/>
      </c>
    </row>
    <row r="94">
      <c r="F94" s="6" t="n"/>
      <c r="G94" s="7" t="n"/>
      <c r="H94" s="7" t="n"/>
      <c r="I94">
        <f>IF(OR(G94="",H94=""),"",IF(G94&gt;DATE(2021,3,31),0,DATEDIF(G94,MIN(H94,DATE(2021,3,31)),"m")+1))</f>
        <v/>
      </c>
      <c r="J94">
        <f>IF(OR(G94="",H94=""),"",IF(H94&lt;DATE(2021,4,1),0,DATEDIF(MAX(G94,DATE(2021,4,1)),H94,"m")+1))</f>
        <v/>
      </c>
      <c r="K94" s="6">
        <f>IF(I94="","",I94*F94)</f>
        <v/>
      </c>
      <c r="L94" s="6">
        <f>IF(J94="","",J94*F94*2)</f>
        <v/>
      </c>
      <c r="M94" s="6" t="n"/>
      <c r="N94" s="6" t="n"/>
      <c r="O94" s="6">
        <f>IF(K94="","",MAX(0,K94+L94-N(M94))+N(N94))</f>
        <v/>
      </c>
      <c r="P94" s="8">
        <f>IF(A94="","",0.3)</f>
        <v/>
      </c>
      <c r="Q94" s="6">
        <f>IF(O94="","",O94*P94)</f>
        <v/>
      </c>
      <c r="R94" s="6">
        <f>IF(O94="","",IF(E94="Vara Cível",O94*0.15,0))</f>
        <v/>
      </c>
      <c r="S94" s="6">
        <f>IF(O94="","",Q94+R94)</f>
        <v/>
      </c>
      <c r="T94">
        <f>IF(G94="","",IF(G94&lt;EDATE(TODAY(),-120),"⚠ mais de 10 anos — cortar janela",""))</f>
        <v/>
      </c>
    </row>
    <row r="95">
      <c r="F95" s="6" t="n"/>
      <c r="G95" s="7" t="n"/>
      <c r="H95" s="7" t="n"/>
      <c r="I95">
        <f>IF(OR(G95="",H95=""),"",IF(G95&gt;DATE(2021,3,31),0,DATEDIF(G95,MIN(H95,DATE(2021,3,31)),"m")+1))</f>
        <v/>
      </c>
      <c r="J95">
        <f>IF(OR(G95="",H95=""),"",IF(H95&lt;DATE(2021,4,1),0,DATEDIF(MAX(G95,DATE(2021,4,1)),H95,"m")+1))</f>
        <v/>
      </c>
      <c r="K95" s="6">
        <f>IF(I95="","",I95*F95)</f>
        <v/>
      </c>
      <c r="L95" s="6">
        <f>IF(J95="","",J95*F95*2)</f>
        <v/>
      </c>
      <c r="M95" s="6" t="n"/>
      <c r="N95" s="6" t="n"/>
      <c r="O95" s="6">
        <f>IF(K95="","",MAX(0,K95+L95-N(M95))+N(N95))</f>
        <v/>
      </c>
      <c r="P95" s="8">
        <f>IF(A95="","",0.3)</f>
        <v/>
      </c>
      <c r="Q95" s="6">
        <f>IF(O95="","",O95*P95)</f>
        <v/>
      </c>
      <c r="R95" s="6">
        <f>IF(O95="","",IF(E95="Vara Cível",O95*0.15,0))</f>
        <v/>
      </c>
      <c r="S95" s="6">
        <f>IF(O95="","",Q95+R95)</f>
        <v/>
      </c>
      <c r="T95">
        <f>IF(G95="","",IF(G95&lt;EDATE(TODAY(),-120),"⚠ mais de 10 anos — cortar janela",""))</f>
        <v/>
      </c>
    </row>
    <row r="96">
      <c r="F96" s="6" t="n"/>
      <c r="G96" s="7" t="n"/>
      <c r="H96" s="7" t="n"/>
      <c r="I96">
        <f>IF(OR(G96="",H96=""),"",IF(G96&gt;DATE(2021,3,31),0,DATEDIF(G96,MIN(H96,DATE(2021,3,31)),"m")+1))</f>
        <v/>
      </c>
      <c r="J96">
        <f>IF(OR(G96="",H96=""),"",IF(H96&lt;DATE(2021,4,1),0,DATEDIF(MAX(G96,DATE(2021,4,1)),H96,"m")+1))</f>
        <v/>
      </c>
      <c r="K96" s="6">
        <f>IF(I96="","",I96*F96)</f>
        <v/>
      </c>
      <c r="L96" s="6">
        <f>IF(J96="","",J96*F96*2)</f>
        <v/>
      </c>
      <c r="M96" s="6" t="n"/>
      <c r="N96" s="6" t="n"/>
      <c r="O96" s="6">
        <f>IF(K96="","",MAX(0,K96+L96-N(M96))+N(N96))</f>
        <v/>
      </c>
      <c r="P96" s="8">
        <f>IF(A96="","",0.3)</f>
        <v/>
      </c>
      <c r="Q96" s="6">
        <f>IF(O96="","",O96*P96)</f>
        <v/>
      </c>
      <c r="R96" s="6">
        <f>IF(O96="","",IF(E96="Vara Cível",O96*0.15,0))</f>
        <v/>
      </c>
      <c r="S96" s="6">
        <f>IF(O96="","",Q96+R96)</f>
        <v/>
      </c>
      <c r="T96">
        <f>IF(G96="","",IF(G96&lt;EDATE(TODAY(),-120),"⚠ mais de 10 anos — cortar janela",""))</f>
        <v/>
      </c>
    </row>
    <row r="97">
      <c r="F97" s="6" t="n"/>
      <c r="G97" s="7" t="n"/>
      <c r="H97" s="7" t="n"/>
      <c r="I97">
        <f>IF(OR(G97="",H97=""),"",IF(G97&gt;DATE(2021,3,31),0,DATEDIF(G97,MIN(H97,DATE(2021,3,31)),"m")+1))</f>
        <v/>
      </c>
      <c r="J97">
        <f>IF(OR(G97="",H97=""),"",IF(H97&lt;DATE(2021,4,1),0,DATEDIF(MAX(G97,DATE(2021,4,1)),H97,"m")+1))</f>
        <v/>
      </c>
      <c r="K97" s="6">
        <f>IF(I97="","",I97*F97)</f>
        <v/>
      </c>
      <c r="L97" s="6">
        <f>IF(J97="","",J97*F97*2)</f>
        <v/>
      </c>
      <c r="M97" s="6" t="n"/>
      <c r="N97" s="6" t="n"/>
      <c r="O97" s="6">
        <f>IF(K97="","",MAX(0,K97+L97-N(M97))+N(N97))</f>
        <v/>
      </c>
      <c r="P97" s="8">
        <f>IF(A97="","",0.3)</f>
        <v/>
      </c>
      <c r="Q97" s="6">
        <f>IF(O97="","",O97*P97)</f>
        <v/>
      </c>
      <c r="R97" s="6">
        <f>IF(O97="","",IF(E97="Vara Cível",O97*0.15,0))</f>
        <v/>
      </c>
      <c r="S97" s="6">
        <f>IF(O97="","",Q97+R97)</f>
        <v/>
      </c>
      <c r="T97">
        <f>IF(G97="","",IF(G97&lt;EDATE(TODAY(),-120),"⚠ mais de 10 anos — cortar janela",""))</f>
        <v/>
      </c>
    </row>
    <row r="98">
      <c r="F98" s="6" t="n"/>
      <c r="G98" s="7" t="n"/>
      <c r="H98" s="7" t="n"/>
      <c r="I98">
        <f>IF(OR(G98="",H98=""),"",IF(G98&gt;DATE(2021,3,31),0,DATEDIF(G98,MIN(H98,DATE(2021,3,31)),"m")+1))</f>
        <v/>
      </c>
      <c r="J98">
        <f>IF(OR(G98="",H98=""),"",IF(H98&lt;DATE(2021,4,1),0,DATEDIF(MAX(G98,DATE(2021,4,1)),H98,"m")+1))</f>
        <v/>
      </c>
      <c r="K98" s="6">
        <f>IF(I98="","",I98*F98)</f>
        <v/>
      </c>
      <c r="L98" s="6">
        <f>IF(J98="","",J98*F98*2)</f>
        <v/>
      </c>
      <c r="M98" s="6" t="n"/>
      <c r="N98" s="6" t="n"/>
      <c r="O98" s="6">
        <f>IF(K98="","",MAX(0,K98+L98-N(M98))+N(N98))</f>
        <v/>
      </c>
      <c r="P98" s="8">
        <f>IF(A98="","",0.3)</f>
        <v/>
      </c>
      <c r="Q98" s="6">
        <f>IF(O98="","",O98*P98)</f>
        <v/>
      </c>
      <c r="R98" s="6">
        <f>IF(O98="","",IF(E98="Vara Cível",O98*0.15,0))</f>
        <v/>
      </c>
      <c r="S98" s="6">
        <f>IF(O98="","",Q98+R98)</f>
        <v/>
      </c>
      <c r="T98">
        <f>IF(G98="","",IF(G98&lt;EDATE(TODAY(),-120),"⚠ mais de 10 anos — cortar janela",""))</f>
        <v/>
      </c>
    </row>
    <row r="99">
      <c r="F99" s="6" t="n"/>
      <c r="G99" s="7" t="n"/>
      <c r="H99" s="7" t="n"/>
      <c r="I99">
        <f>IF(OR(G99="",H99=""),"",IF(G99&gt;DATE(2021,3,31),0,DATEDIF(G99,MIN(H99,DATE(2021,3,31)),"m")+1))</f>
        <v/>
      </c>
      <c r="J99">
        <f>IF(OR(G99="",H99=""),"",IF(H99&lt;DATE(2021,4,1),0,DATEDIF(MAX(G99,DATE(2021,4,1)),H99,"m")+1))</f>
        <v/>
      </c>
      <c r="K99" s="6">
        <f>IF(I99="","",I99*F99)</f>
        <v/>
      </c>
      <c r="L99" s="6">
        <f>IF(J99="","",J99*F99*2)</f>
        <v/>
      </c>
      <c r="M99" s="6" t="n"/>
      <c r="N99" s="6" t="n"/>
      <c r="O99" s="6">
        <f>IF(K99="","",MAX(0,K99+L99-N(M99))+N(N99))</f>
        <v/>
      </c>
      <c r="P99" s="8">
        <f>IF(A99="","",0.3)</f>
        <v/>
      </c>
      <c r="Q99" s="6">
        <f>IF(O99="","",O99*P99)</f>
        <v/>
      </c>
      <c r="R99" s="6">
        <f>IF(O99="","",IF(E99="Vara Cível",O99*0.15,0))</f>
        <v/>
      </c>
      <c r="S99" s="6">
        <f>IF(O99="","",Q99+R99)</f>
        <v/>
      </c>
      <c r="T99">
        <f>IF(G99="","",IF(G99&lt;EDATE(TODAY(),-120),"⚠ mais de 10 anos — cortar janela",""))</f>
        <v/>
      </c>
    </row>
    <row r="100">
      <c r="F100" s="6" t="n"/>
      <c r="G100" s="7" t="n"/>
      <c r="H100" s="7" t="n"/>
      <c r="I100">
        <f>IF(OR(G100="",H100=""),"",IF(G100&gt;DATE(2021,3,31),0,DATEDIF(G100,MIN(H100,DATE(2021,3,31)),"m")+1))</f>
        <v/>
      </c>
      <c r="J100">
        <f>IF(OR(G100="",H100=""),"",IF(H100&lt;DATE(2021,4,1),0,DATEDIF(MAX(G100,DATE(2021,4,1)),H100,"m")+1))</f>
        <v/>
      </c>
      <c r="K100" s="6">
        <f>IF(I100="","",I100*F100)</f>
        <v/>
      </c>
      <c r="L100" s="6">
        <f>IF(J100="","",J100*F100*2)</f>
        <v/>
      </c>
      <c r="M100" s="6" t="n"/>
      <c r="N100" s="6" t="n"/>
      <c r="O100" s="6">
        <f>IF(K100="","",MAX(0,K100+L100-N(M100))+N(N100))</f>
        <v/>
      </c>
      <c r="P100" s="8">
        <f>IF(A100="","",0.3)</f>
        <v/>
      </c>
      <c r="Q100" s="6">
        <f>IF(O100="","",O100*P100)</f>
        <v/>
      </c>
      <c r="R100" s="6">
        <f>IF(O100="","",IF(E100="Vara Cível",O100*0.15,0))</f>
        <v/>
      </c>
      <c r="S100" s="6">
        <f>IF(O100="","",Q100+R100)</f>
        <v/>
      </c>
      <c r="T100">
        <f>IF(G100="","",IF(G100&lt;EDATE(TODAY(),-120),"⚠ mais de 10 anos — cortar janela",""))</f>
        <v/>
      </c>
    </row>
    <row r="101">
      <c r="F101" s="6" t="n"/>
      <c r="G101" s="7" t="n"/>
      <c r="H101" s="7" t="n"/>
      <c r="I101">
        <f>IF(OR(G101="",H101=""),"",IF(G101&gt;DATE(2021,3,31),0,DATEDIF(G101,MIN(H101,DATE(2021,3,31)),"m")+1))</f>
        <v/>
      </c>
      <c r="J101">
        <f>IF(OR(G101="",H101=""),"",IF(H101&lt;DATE(2021,4,1),0,DATEDIF(MAX(G101,DATE(2021,4,1)),H101,"m")+1))</f>
        <v/>
      </c>
      <c r="K101" s="6">
        <f>IF(I101="","",I101*F101)</f>
        <v/>
      </c>
      <c r="L101" s="6">
        <f>IF(J101="","",J101*F101*2)</f>
        <v/>
      </c>
      <c r="M101" s="6" t="n"/>
      <c r="N101" s="6" t="n"/>
      <c r="O101" s="6">
        <f>IF(K101="","",MAX(0,K101+L101-N(M101))+N(N101))</f>
        <v/>
      </c>
      <c r="P101" s="8">
        <f>IF(A101="","",0.3)</f>
        <v/>
      </c>
      <c r="Q101" s="6">
        <f>IF(O101="","",O101*P101)</f>
        <v/>
      </c>
      <c r="R101" s="6">
        <f>IF(O101="","",IF(E101="Vara Cível",O101*0.15,0))</f>
        <v/>
      </c>
      <c r="S101" s="6">
        <f>IF(O101="","",Q101+R101)</f>
        <v/>
      </c>
      <c r="T101">
        <f>IF(G101="","",IF(G101&lt;EDATE(TODAY(),-120),"⚠ mais de 10 anos — cortar janela",""))</f>
        <v/>
      </c>
    </row>
    <row r="102">
      <c r="F102" s="6" t="n"/>
      <c r="G102" s="7" t="n"/>
      <c r="H102" s="7" t="n"/>
      <c r="I102">
        <f>IF(OR(G102="",H102=""),"",IF(G102&gt;DATE(2021,3,31),0,DATEDIF(G102,MIN(H102,DATE(2021,3,31)),"m")+1))</f>
        <v/>
      </c>
      <c r="J102">
        <f>IF(OR(G102="",H102=""),"",IF(H102&lt;DATE(2021,4,1),0,DATEDIF(MAX(G102,DATE(2021,4,1)),H102,"m")+1))</f>
        <v/>
      </c>
      <c r="K102" s="6">
        <f>IF(I102="","",I102*F102)</f>
        <v/>
      </c>
      <c r="L102" s="6">
        <f>IF(J102="","",J102*F102*2)</f>
        <v/>
      </c>
      <c r="M102" s="6" t="n"/>
      <c r="N102" s="6" t="n"/>
      <c r="O102" s="6">
        <f>IF(K102="","",MAX(0,K102+L102-N(M102))+N(N102))</f>
        <v/>
      </c>
      <c r="P102" s="8">
        <f>IF(A102="","",0.3)</f>
        <v/>
      </c>
      <c r="Q102" s="6">
        <f>IF(O102="","",O102*P102)</f>
        <v/>
      </c>
      <c r="R102" s="6">
        <f>IF(O102="","",IF(E102="Vara Cível",O102*0.15,0))</f>
        <v/>
      </c>
      <c r="S102" s="6">
        <f>IF(O102="","",Q102+R102)</f>
        <v/>
      </c>
      <c r="T102">
        <f>IF(G102="","",IF(G102&lt;EDATE(TODAY(),-120),"⚠ mais de 10 anos — cortar janela",""))</f>
        <v/>
      </c>
    </row>
    <row r="103">
      <c r="F103" s="6" t="n"/>
      <c r="G103" s="7" t="n"/>
      <c r="H103" s="7" t="n"/>
      <c r="I103">
        <f>IF(OR(G103="",H103=""),"",IF(G103&gt;DATE(2021,3,31),0,DATEDIF(G103,MIN(H103,DATE(2021,3,31)),"m")+1))</f>
        <v/>
      </c>
      <c r="J103">
        <f>IF(OR(G103="",H103=""),"",IF(H103&lt;DATE(2021,4,1),0,DATEDIF(MAX(G103,DATE(2021,4,1)),H103,"m")+1))</f>
        <v/>
      </c>
      <c r="K103" s="6">
        <f>IF(I103="","",I103*F103)</f>
        <v/>
      </c>
      <c r="L103" s="6">
        <f>IF(J103="","",J103*F103*2)</f>
        <v/>
      </c>
      <c r="M103" s="6" t="n"/>
      <c r="N103" s="6" t="n"/>
      <c r="O103" s="6">
        <f>IF(K103="","",MAX(0,K103+L103-N(M103))+N(N103))</f>
        <v/>
      </c>
      <c r="P103" s="8">
        <f>IF(A103="","",0.3)</f>
        <v/>
      </c>
      <c r="Q103" s="6">
        <f>IF(O103="","",O103*P103)</f>
        <v/>
      </c>
      <c r="R103" s="6">
        <f>IF(O103="","",IF(E103="Vara Cível",O103*0.15,0))</f>
        <v/>
      </c>
      <c r="S103" s="6">
        <f>IF(O103="","",Q103+R103)</f>
        <v/>
      </c>
      <c r="T103">
        <f>IF(G103="","",IF(G103&lt;EDATE(TODAY(),-120),"⚠ mais de 10 anos — cortar janela",""))</f>
        <v/>
      </c>
    </row>
    <row r="104">
      <c r="F104" s="6" t="n"/>
      <c r="G104" s="7" t="n"/>
      <c r="H104" s="7" t="n"/>
      <c r="I104">
        <f>IF(OR(G104="",H104=""),"",IF(G104&gt;DATE(2021,3,31),0,DATEDIF(G104,MIN(H104,DATE(2021,3,31)),"m")+1))</f>
        <v/>
      </c>
      <c r="J104">
        <f>IF(OR(G104="",H104=""),"",IF(H104&lt;DATE(2021,4,1),0,DATEDIF(MAX(G104,DATE(2021,4,1)),H104,"m")+1))</f>
        <v/>
      </c>
      <c r="K104" s="6">
        <f>IF(I104="","",I104*F104)</f>
        <v/>
      </c>
      <c r="L104" s="6">
        <f>IF(J104="","",J104*F104*2)</f>
        <v/>
      </c>
      <c r="M104" s="6" t="n"/>
      <c r="N104" s="6" t="n"/>
      <c r="O104" s="6">
        <f>IF(K104="","",MAX(0,K104+L104-N(M104))+N(N104))</f>
        <v/>
      </c>
      <c r="P104" s="8">
        <f>IF(A104="","",0.3)</f>
        <v/>
      </c>
      <c r="Q104" s="6">
        <f>IF(O104="","",O104*P104)</f>
        <v/>
      </c>
      <c r="R104" s="6">
        <f>IF(O104="","",IF(E104="Vara Cível",O104*0.15,0))</f>
        <v/>
      </c>
      <c r="S104" s="6">
        <f>IF(O104="","",Q104+R104)</f>
        <v/>
      </c>
      <c r="T104">
        <f>IF(G104="","",IF(G104&lt;EDATE(TODAY(),-120),"⚠ mais de 10 anos — cortar janela",""))</f>
        <v/>
      </c>
    </row>
    <row r="105">
      <c r="F105" s="6" t="n"/>
      <c r="G105" s="7" t="n"/>
      <c r="H105" s="7" t="n"/>
      <c r="I105">
        <f>IF(OR(G105="",H105=""),"",IF(G105&gt;DATE(2021,3,31),0,DATEDIF(G105,MIN(H105,DATE(2021,3,31)),"m")+1))</f>
        <v/>
      </c>
      <c r="J105">
        <f>IF(OR(G105="",H105=""),"",IF(H105&lt;DATE(2021,4,1),0,DATEDIF(MAX(G105,DATE(2021,4,1)),H105,"m")+1))</f>
        <v/>
      </c>
      <c r="K105" s="6">
        <f>IF(I105="","",I105*F105)</f>
        <v/>
      </c>
      <c r="L105" s="6">
        <f>IF(J105="","",J105*F105*2)</f>
        <v/>
      </c>
      <c r="M105" s="6" t="n"/>
      <c r="N105" s="6" t="n"/>
      <c r="O105" s="6">
        <f>IF(K105="","",MAX(0,K105+L105-N(M105))+N(N105))</f>
        <v/>
      </c>
      <c r="P105" s="8">
        <f>IF(A105="","",0.3)</f>
        <v/>
      </c>
      <c r="Q105" s="6">
        <f>IF(O105="","",O105*P105)</f>
        <v/>
      </c>
      <c r="R105" s="6">
        <f>IF(O105="","",IF(E105="Vara Cível",O105*0.15,0))</f>
        <v/>
      </c>
      <c r="S105" s="6">
        <f>IF(O105="","",Q105+R105)</f>
        <v/>
      </c>
      <c r="T105">
        <f>IF(G105="","",IF(G105&lt;EDATE(TODAY(),-120),"⚠ mais de 10 anos — cortar janela",""))</f>
        <v/>
      </c>
    </row>
    <row r="106">
      <c r="F106" s="6" t="n"/>
      <c r="G106" s="7" t="n"/>
      <c r="H106" s="7" t="n"/>
      <c r="I106">
        <f>IF(OR(G106="",H106=""),"",IF(G106&gt;DATE(2021,3,31),0,DATEDIF(G106,MIN(H106,DATE(2021,3,31)),"m")+1))</f>
        <v/>
      </c>
      <c r="J106">
        <f>IF(OR(G106="",H106=""),"",IF(H106&lt;DATE(2021,4,1),0,DATEDIF(MAX(G106,DATE(2021,4,1)),H106,"m")+1))</f>
        <v/>
      </c>
      <c r="K106" s="6">
        <f>IF(I106="","",I106*F106)</f>
        <v/>
      </c>
      <c r="L106" s="6">
        <f>IF(J106="","",J106*F106*2)</f>
        <v/>
      </c>
      <c r="M106" s="6" t="n"/>
      <c r="N106" s="6" t="n"/>
      <c r="O106" s="6">
        <f>IF(K106="","",MAX(0,K106+L106-N(M106))+N(N106))</f>
        <v/>
      </c>
      <c r="P106" s="8">
        <f>IF(A106="","",0.3)</f>
        <v/>
      </c>
      <c r="Q106" s="6">
        <f>IF(O106="","",O106*P106)</f>
        <v/>
      </c>
      <c r="R106" s="6">
        <f>IF(O106="","",IF(E106="Vara Cível",O106*0.15,0))</f>
        <v/>
      </c>
      <c r="S106" s="6">
        <f>IF(O106="","",Q106+R106)</f>
        <v/>
      </c>
      <c r="T106">
        <f>IF(G106="","",IF(G106&lt;EDATE(TODAY(),-120),"⚠ mais de 10 anos — cortar janela",""))</f>
        <v/>
      </c>
    </row>
    <row r="107">
      <c r="F107" s="6" t="n"/>
      <c r="G107" s="7" t="n"/>
      <c r="H107" s="7" t="n"/>
      <c r="I107">
        <f>IF(OR(G107="",H107=""),"",IF(G107&gt;DATE(2021,3,31),0,DATEDIF(G107,MIN(H107,DATE(2021,3,31)),"m")+1))</f>
        <v/>
      </c>
      <c r="J107">
        <f>IF(OR(G107="",H107=""),"",IF(H107&lt;DATE(2021,4,1),0,DATEDIF(MAX(G107,DATE(2021,4,1)),H107,"m")+1))</f>
        <v/>
      </c>
      <c r="K107" s="6">
        <f>IF(I107="","",I107*F107)</f>
        <v/>
      </c>
      <c r="L107" s="6">
        <f>IF(J107="","",J107*F107*2)</f>
        <v/>
      </c>
      <c r="M107" s="6" t="n"/>
      <c r="N107" s="6" t="n"/>
      <c r="O107" s="6">
        <f>IF(K107="","",MAX(0,K107+L107-N(M107))+N(N107))</f>
        <v/>
      </c>
      <c r="P107" s="8">
        <f>IF(A107="","",0.3)</f>
        <v/>
      </c>
      <c r="Q107" s="6">
        <f>IF(O107="","",O107*P107)</f>
        <v/>
      </c>
      <c r="R107" s="6">
        <f>IF(O107="","",IF(E107="Vara Cível",O107*0.15,0))</f>
        <v/>
      </c>
      <c r="S107" s="6">
        <f>IF(O107="","",Q107+R107)</f>
        <v/>
      </c>
      <c r="T107">
        <f>IF(G107="","",IF(G107&lt;EDATE(TODAY(),-120),"⚠ mais de 10 anos — cortar janela",""))</f>
        <v/>
      </c>
    </row>
    <row r="108">
      <c r="F108" s="6" t="n"/>
      <c r="G108" s="7" t="n"/>
      <c r="H108" s="7" t="n"/>
      <c r="I108">
        <f>IF(OR(G108="",H108=""),"",IF(G108&gt;DATE(2021,3,31),0,DATEDIF(G108,MIN(H108,DATE(2021,3,31)),"m")+1))</f>
        <v/>
      </c>
      <c r="J108">
        <f>IF(OR(G108="",H108=""),"",IF(H108&lt;DATE(2021,4,1),0,DATEDIF(MAX(G108,DATE(2021,4,1)),H108,"m")+1))</f>
        <v/>
      </c>
      <c r="K108" s="6">
        <f>IF(I108="","",I108*F108)</f>
        <v/>
      </c>
      <c r="L108" s="6">
        <f>IF(J108="","",J108*F108*2)</f>
        <v/>
      </c>
      <c r="M108" s="6" t="n"/>
      <c r="N108" s="6" t="n"/>
      <c r="O108" s="6">
        <f>IF(K108="","",MAX(0,K108+L108-N(M108))+N(N108))</f>
        <v/>
      </c>
      <c r="P108" s="8">
        <f>IF(A108="","",0.3)</f>
        <v/>
      </c>
      <c r="Q108" s="6">
        <f>IF(O108="","",O108*P108)</f>
        <v/>
      </c>
      <c r="R108" s="6">
        <f>IF(O108="","",IF(E108="Vara Cível",O108*0.15,0))</f>
        <v/>
      </c>
      <c r="S108" s="6">
        <f>IF(O108="","",Q108+R108)</f>
        <v/>
      </c>
      <c r="T108">
        <f>IF(G108="","",IF(G108&lt;EDATE(TODAY(),-120),"⚠ mais de 10 anos — cortar janela",""))</f>
        <v/>
      </c>
    </row>
    <row r="109">
      <c r="F109" s="6" t="n"/>
      <c r="G109" s="7" t="n"/>
      <c r="H109" s="7" t="n"/>
      <c r="I109">
        <f>IF(OR(G109="",H109=""),"",IF(G109&gt;DATE(2021,3,31),0,DATEDIF(G109,MIN(H109,DATE(2021,3,31)),"m")+1))</f>
        <v/>
      </c>
      <c r="J109">
        <f>IF(OR(G109="",H109=""),"",IF(H109&lt;DATE(2021,4,1),0,DATEDIF(MAX(G109,DATE(2021,4,1)),H109,"m")+1))</f>
        <v/>
      </c>
      <c r="K109" s="6">
        <f>IF(I109="","",I109*F109)</f>
        <v/>
      </c>
      <c r="L109" s="6">
        <f>IF(J109="","",J109*F109*2)</f>
        <v/>
      </c>
      <c r="M109" s="6" t="n"/>
      <c r="N109" s="6" t="n"/>
      <c r="O109" s="6">
        <f>IF(K109="","",MAX(0,K109+L109-N(M109))+N(N109))</f>
        <v/>
      </c>
      <c r="P109" s="8">
        <f>IF(A109="","",0.3)</f>
        <v/>
      </c>
      <c r="Q109" s="6">
        <f>IF(O109="","",O109*P109)</f>
        <v/>
      </c>
      <c r="R109" s="6">
        <f>IF(O109="","",IF(E109="Vara Cível",O109*0.15,0))</f>
        <v/>
      </c>
      <c r="S109" s="6">
        <f>IF(O109="","",Q109+R109)</f>
        <v/>
      </c>
      <c r="T109">
        <f>IF(G109="","",IF(G109&lt;EDATE(TODAY(),-120),"⚠ mais de 10 anos — cortar janela",""))</f>
        <v/>
      </c>
    </row>
    <row r="110">
      <c r="F110" s="6" t="n"/>
      <c r="G110" s="7" t="n"/>
      <c r="H110" s="7" t="n"/>
      <c r="I110">
        <f>IF(OR(G110="",H110=""),"",IF(G110&gt;DATE(2021,3,31),0,DATEDIF(G110,MIN(H110,DATE(2021,3,31)),"m")+1))</f>
        <v/>
      </c>
      <c r="J110">
        <f>IF(OR(G110="",H110=""),"",IF(H110&lt;DATE(2021,4,1),0,DATEDIF(MAX(G110,DATE(2021,4,1)),H110,"m")+1))</f>
        <v/>
      </c>
      <c r="K110" s="6">
        <f>IF(I110="","",I110*F110)</f>
        <v/>
      </c>
      <c r="L110" s="6">
        <f>IF(J110="","",J110*F110*2)</f>
        <v/>
      </c>
      <c r="M110" s="6" t="n"/>
      <c r="N110" s="6" t="n"/>
      <c r="O110" s="6">
        <f>IF(K110="","",MAX(0,K110+L110-N(M110))+N(N110))</f>
        <v/>
      </c>
      <c r="P110" s="8">
        <f>IF(A110="","",0.3)</f>
        <v/>
      </c>
      <c r="Q110" s="6">
        <f>IF(O110="","",O110*P110)</f>
        <v/>
      </c>
      <c r="R110" s="6">
        <f>IF(O110="","",IF(E110="Vara Cível",O110*0.15,0))</f>
        <v/>
      </c>
      <c r="S110" s="6">
        <f>IF(O110="","",Q110+R110)</f>
        <v/>
      </c>
      <c r="T110">
        <f>IF(G110="","",IF(G110&lt;EDATE(TODAY(),-120),"⚠ mais de 10 anos — cortar janela",""))</f>
        <v/>
      </c>
    </row>
    <row r="111">
      <c r="F111" s="6" t="n"/>
      <c r="G111" s="7" t="n"/>
      <c r="H111" s="7" t="n"/>
      <c r="I111">
        <f>IF(OR(G111="",H111=""),"",IF(G111&gt;DATE(2021,3,31),0,DATEDIF(G111,MIN(H111,DATE(2021,3,31)),"m")+1))</f>
        <v/>
      </c>
      <c r="J111">
        <f>IF(OR(G111="",H111=""),"",IF(H111&lt;DATE(2021,4,1),0,DATEDIF(MAX(G111,DATE(2021,4,1)),H111,"m")+1))</f>
        <v/>
      </c>
      <c r="K111" s="6">
        <f>IF(I111="","",I111*F111)</f>
        <v/>
      </c>
      <c r="L111" s="6">
        <f>IF(J111="","",J111*F111*2)</f>
        <v/>
      </c>
      <c r="M111" s="6" t="n"/>
      <c r="N111" s="6" t="n"/>
      <c r="O111" s="6">
        <f>IF(K111="","",MAX(0,K111+L111-N(M111))+N(N111))</f>
        <v/>
      </c>
      <c r="P111" s="8">
        <f>IF(A111="","",0.3)</f>
        <v/>
      </c>
      <c r="Q111" s="6">
        <f>IF(O111="","",O111*P111)</f>
        <v/>
      </c>
      <c r="R111" s="6">
        <f>IF(O111="","",IF(E111="Vara Cível",O111*0.15,0))</f>
        <v/>
      </c>
      <c r="S111" s="6">
        <f>IF(O111="","",Q111+R111)</f>
        <v/>
      </c>
      <c r="T111">
        <f>IF(G111="","",IF(G111&lt;EDATE(TODAY(),-120),"⚠ mais de 10 anos — cortar janela",""))</f>
        <v/>
      </c>
    </row>
    <row r="112">
      <c r="F112" s="6" t="n"/>
      <c r="G112" s="7" t="n"/>
      <c r="H112" s="7" t="n"/>
      <c r="I112">
        <f>IF(OR(G112="",H112=""),"",IF(G112&gt;DATE(2021,3,31),0,DATEDIF(G112,MIN(H112,DATE(2021,3,31)),"m")+1))</f>
        <v/>
      </c>
      <c r="J112">
        <f>IF(OR(G112="",H112=""),"",IF(H112&lt;DATE(2021,4,1),0,DATEDIF(MAX(G112,DATE(2021,4,1)),H112,"m")+1))</f>
        <v/>
      </c>
      <c r="K112" s="6">
        <f>IF(I112="","",I112*F112)</f>
        <v/>
      </c>
      <c r="L112" s="6">
        <f>IF(J112="","",J112*F112*2)</f>
        <v/>
      </c>
      <c r="M112" s="6" t="n"/>
      <c r="N112" s="6" t="n"/>
      <c r="O112" s="6">
        <f>IF(K112="","",MAX(0,K112+L112-N(M112))+N(N112))</f>
        <v/>
      </c>
      <c r="P112" s="8">
        <f>IF(A112="","",0.3)</f>
        <v/>
      </c>
      <c r="Q112" s="6">
        <f>IF(O112="","",O112*P112)</f>
        <v/>
      </c>
      <c r="R112" s="6">
        <f>IF(O112="","",IF(E112="Vara Cível",O112*0.15,0))</f>
        <v/>
      </c>
      <c r="S112" s="6">
        <f>IF(O112="","",Q112+R112)</f>
        <v/>
      </c>
      <c r="T112">
        <f>IF(G112="","",IF(G112&lt;EDATE(TODAY(),-120),"⚠ mais de 10 anos — cortar janela",""))</f>
        <v/>
      </c>
    </row>
    <row r="113">
      <c r="F113" s="6" t="n"/>
      <c r="G113" s="7" t="n"/>
      <c r="H113" s="7" t="n"/>
      <c r="I113">
        <f>IF(OR(G113="",H113=""),"",IF(G113&gt;DATE(2021,3,31),0,DATEDIF(G113,MIN(H113,DATE(2021,3,31)),"m")+1))</f>
        <v/>
      </c>
      <c r="J113">
        <f>IF(OR(G113="",H113=""),"",IF(H113&lt;DATE(2021,4,1),0,DATEDIF(MAX(G113,DATE(2021,4,1)),H113,"m")+1))</f>
        <v/>
      </c>
      <c r="K113" s="6">
        <f>IF(I113="","",I113*F113)</f>
        <v/>
      </c>
      <c r="L113" s="6">
        <f>IF(J113="","",J113*F113*2)</f>
        <v/>
      </c>
      <c r="M113" s="6" t="n"/>
      <c r="N113" s="6" t="n"/>
      <c r="O113" s="6">
        <f>IF(K113="","",MAX(0,K113+L113-N(M113))+N(N113))</f>
        <v/>
      </c>
      <c r="P113" s="8">
        <f>IF(A113="","",0.3)</f>
        <v/>
      </c>
      <c r="Q113" s="6">
        <f>IF(O113="","",O113*P113)</f>
        <v/>
      </c>
      <c r="R113" s="6">
        <f>IF(O113="","",IF(E113="Vara Cível",O113*0.15,0))</f>
        <v/>
      </c>
      <c r="S113" s="6">
        <f>IF(O113="","",Q113+R113)</f>
        <v/>
      </c>
      <c r="T113">
        <f>IF(G113="","",IF(G113&lt;EDATE(TODAY(),-120),"⚠ mais de 10 anos — cortar janela",""))</f>
        <v/>
      </c>
    </row>
    <row r="114">
      <c r="F114" s="6" t="n"/>
      <c r="G114" s="7" t="n"/>
      <c r="H114" s="7" t="n"/>
      <c r="I114">
        <f>IF(OR(G114="",H114=""),"",IF(G114&gt;DATE(2021,3,31),0,DATEDIF(G114,MIN(H114,DATE(2021,3,31)),"m")+1))</f>
        <v/>
      </c>
      <c r="J114">
        <f>IF(OR(G114="",H114=""),"",IF(H114&lt;DATE(2021,4,1),0,DATEDIF(MAX(G114,DATE(2021,4,1)),H114,"m")+1))</f>
        <v/>
      </c>
      <c r="K114" s="6">
        <f>IF(I114="","",I114*F114)</f>
        <v/>
      </c>
      <c r="L114" s="6">
        <f>IF(J114="","",J114*F114*2)</f>
        <v/>
      </c>
      <c r="M114" s="6" t="n"/>
      <c r="N114" s="6" t="n"/>
      <c r="O114" s="6">
        <f>IF(K114="","",MAX(0,K114+L114-N(M114))+N(N114))</f>
        <v/>
      </c>
      <c r="P114" s="8">
        <f>IF(A114="","",0.3)</f>
        <v/>
      </c>
      <c r="Q114" s="6">
        <f>IF(O114="","",O114*P114)</f>
        <v/>
      </c>
      <c r="R114" s="6">
        <f>IF(O114="","",IF(E114="Vara Cível",O114*0.15,0))</f>
        <v/>
      </c>
      <c r="S114" s="6">
        <f>IF(O114="","",Q114+R114)</f>
        <v/>
      </c>
      <c r="T114">
        <f>IF(G114="","",IF(G114&lt;EDATE(TODAY(),-120),"⚠ mais de 10 anos — cortar janela",""))</f>
        <v/>
      </c>
    </row>
    <row r="115">
      <c r="F115" s="6" t="n"/>
      <c r="G115" s="7" t="n"/>
      <c r="H115" s="7" t="n"/>
      <c r="I115">
        <f>IF(OR(G115="",H115=""),"",IF(G115&gt;DATE(2021,3,31),0,DATEDIF(G115,MIN(H115,DATE(2021,3,31)),"m")+1))</f>
        <v/>
      </c>
      <c r="J115">
        <f>IF(OR(G115="",H115=""),"",IF(H115&lt;DATE(2021,4,1),0,DATEDIF(MAX(G115,DATE(2021,4,1)),H115,"m")+1))</f>
        <v/>
      </c>
      <c r="K115" s="6">
        <f>IF(I115="","",I115*F115)</f>
        <v/>
      </c>
      <c r="L115" s="6">
        <f>IF(J115="","",J115*F115*2)</f>
        <v/>
      </c>
      <c r="M115" s="6" t="n"/>
      <c r="N115" s="6" t="n"/>
      <c r="O115" s="6">
        <f>IF(K115="","",MAX(0,K115+L115-N(M115))+N(N115))</f>
        <v/>
      </c>
      <c r="P115" s="8">
        <f>IF(A115="","",0.3)</f>
        <v/>
      </c>
      <c r="Q115" s="6">
        <f>IF(O115="","",O115*P115)</f>
        <v/>
      </c>
      <c r="R115" s="6">
        <f>IF(O115="","",IF(E115="Vara Cível",O115*0.15,0))</f>
        <v/>
      </c>
      <c r="S115" s="6">
        <f>IF(O115="","",Q115+R115)</f>
        <v/>
      </c>
      <c r="T115">
        <f>IF(G115="","",IF(G115&lt;EDATE(TODAY(),-120),"⚠ mais de 10 anos — cortar janela",""))</f>
        <v/>
      </c>
    </row>
    <row r="116">
      <c r="F116" s="6" t="n"/>
      <c r="G116" s="7" t="n"/>
      <c r="H116" s="7" t="n"/>
      <c r="I116">
        <f>IF(OR(G116="",H116=""),"",IF(G116&gt;DATE(2021,3,31),0,DATEDIF(G116,MIN(H116,DATE(2021,3,31)),"m")+1))</f>
        <v/>
      </c>
      <c r="J116">
        <f>IF(OR(G116="",H116=""),"",IF(H116&lt;DATE(2021,4,1),0,DATEDIF(MAX(G116,DATE(2021,4,1)),H116,"m")+1))</f>
        <v/>
      </c>
      <c r="K116" s="6">
        <f>IF(I116="","",I116*F116)</f>
        <v/>
      </c>
      <c r="L116" s="6">
        <f>IF(J116="","",J116*F116*2)</f>
        <v/>
      </c>
      <c r="M116" s="6" t="n"/>
      <c r="N116" s="6" t="n"/>
      <c r="O116" s="6">
        <f>IF(K116="","",MAX(0,K116+L116-N(M116))+N(N116))</f>
        <v/>
      </c>
      <c r="P116" s="8">
        <f>IF(A116="","",0.3)</f>
        <v/>
      </c>
      <c r="Q116" s="6">
        <f>IF(O116="","",O116*P116)</f>
        <v/>
      </c>
      <c r="R116" s="6">
        <f>IF(O116="","",IF(E116="Vara Cível",O116*0.15,0))</f>
        <v/>
      </c>
      <c r="S116" s="6">
        <f>IF(O116="","",Q116+R116)</f>
        <v/>
      </c>
      <c r="T116">
        <f>IF(G116="","",IF(G116&lt;EDATE(TODAY(),-120),"⚠ mais de 10 anos — cortar janela",""))</f>
        <v/>
      </c>
    </row>
    <row r="117">
      <c r="F117" s="6" t="n"/>
      <c r="G117" s="7" t="n"/>
      <c r="H117" s="7" t="n"/>
      <c r="I117">
        <f>IF(OR(G117="",H117=""),"",IF(G117&gt;DATE(2021,3,31),0,DATEDIF(G117,MIN(H117,DATE(2021,3,31)),"m")+1))</f>
        <v/>
      </c>
      <c r="J117">
        <f>IF(OR(G117="",H117=""),"",IF(H117&lt;DATE(2021,4,1),0,DATEDIF(MAX(G117,DATE(2021,4,1)),H117,"m")+1))</f>
        <v/>
      </c>
      <c r="K117" s="6">
        <f>IF(I117="","",I117*F117)</f>
        <v/>
      </c>
      <c r="L117" s="6">
        <f>IF(J117="","",J117*F117*2)</f>
        <v/>
      </c>
      <c r="M117" s="6" t="n"/>
      <c r="N117" s="6" t="n"/>
      <c r="O117" s="6">
        <f>IF(K117="","",MAX(0,K117+L117-N(M117))+N(N117))</f>
        <v/>
      </c>
      <c r="P117" s="8">
        <f>IF(A117="","",0.3)</f>
        <v/>
      </c>
      <c r="Q117" s="6">
        <f>IF(O117="","",O117*P117)</f>
        <v/>
      </c>
      <c r="R117" s="6">
        <f>IF(O117="","",IF(E117="Vara Cível",O117*0.15,0))</f>
        <v/>
      </c>
      <c r="S117" s="6">
        <f>IF(O117="","",Q117+R117)</f>
        <v/>
      </c>
      <c r="T117">
        <f>IF(G117="","",IF(G117&lt;EDATE(TODAY(),-120),"⚠ mais de 10 anos — cortar janela",""))</f>
        <v/>
      </c>
    </row>
    <row r="118">
      <c r="F118" s="6" t="n"/>
      <c r="G118" s="7" t="n"/>
      <c r="H118" s="7" t="n"/>
      <c r="I118">
        <f>IF(OR(G118="",H118=""),"",IF(G118&gt;DATE(2021,3,31),0,DATEDIF(G118,MIN(H118,DATE(2021,3,31)),"m")+1))</f>
        <v/>
      </c>
      <c r="J118">
        <f>IF(OR(G118="",H118=""),"",IF(H118&lt;DATE(2021,4,1),0,DATEDIF(MAX(G118,DATE(2021,4,1)),H118,"m")+1))</f>
        <v/>
      </c>
      <c r="K118" s="6">
        <f>IF(I118="","",I118*F118)</f>
        <v/>
      </c>
      <c r="L118" s="6">
        <f>IF(J118="","",J118*F118*2)</f>
        <v/>
      </c>
      <c r="M118" s="6" t="n"/>
      <c r="N118" s="6" t="n"/>
      <c r="O118" s="6">
        <f>IF(K118="","",MAX(0,K118+L118-N(M118))+N(N118))</f>
        <v/>
      </c>
      <c r="P118" s="8">
        <f>IF(A118="","",0.3)</f>
        <v/>
      </c>
      <c r="Q118" s="6">
        <f>IF(O118="","",O118*P118)</f>
        <v/>
      </c>
      <c r="R118" s="6">
        <f>IF(O118="","",IF(E118="Vara Cível",O118*0.15,0))</f>
        <v/>
      </c>
      <c r="S118" s="6">
        <f>IF(O118="","",Q118+R118)</f>
        <v/>
      </c>
      <c r="T118">
        <f>IF(G118="","",IF(G118&lt;EDATE(TODAY(),-120),"⚠ mais de 10 anos — cortar janela",""))</f>
        <v/>
      </c>
    </row>
    <row r="119">
      <c r="F119" s="6" t="n"/>
      <c r="G119" s="7" t="n"/>
      <c r="H119" s="7" t="n"/>
      <c r="I119">
        <f>IF(OR(G119="",H119=""),"",IF(G119&gt;DATE(2021,3,31),0,DATEDIF(G119,MIN(H119,DATE(2021,3,31)),"m")+1))</f>
        <v/>
      </c>
      <c r="J119">
        <f>IF(OR(G119="",H119=""),"",IF(H119&lt;DATE(2021,4,1),0,DATEDIF(MAX(G119,DATE(2021,4,1)),H119,"m")+1))</f>
        <v/>
      </c>
      <c r="K119" s="6">
        <f>IF(I119="","",I119*F119)</f>
        <v/>
      </c>
      <c r="L119" s="6">
        <f>IF(J119="","",J119*F119*2)</f>
        <v/>
      </c>
      <c r="M119" s="6" t="n"/>
      <c r="N119" s="6" t="n"/>
      <c r="O119" s="6">
        <f>IF(K119="","",MAX(0,K119+L119-N(M119))+N(N119))</f>
        <v/>
      </c>
      <c r="P119" s="8">
        <f>IF(A119="","",0.3)</f>
        <v/>
      </c>
      <c r="Q119" s="6">
        <f>IF(O119="","",O119*P119)</f>
        <v/>
      </c>
      <c r="R119" s="6">
        <f>IF(O119="","",IF(E119="Vara Cível",O119*0.15,0))</f>
        <v/>
      </c>
      <c r="S119" s="6">
        <f>IF(O119="","",Q119+R119)</f>
        <v/>
      </c>
      <c r="T119">
        <f>IF(G119="","",IF(G119&lt;EDATE(TODAY(),-120),"⚠ mais de 10 anos — cortar janela",""))</f>
        <v/>
      </c>
    </row>
    <row r="120">
      <c r="F120" s="6" t="n"/>
      <c r="G120" s="7" t="n"/>
      <c r="H120" s="7" t="n"/>
      <c r="I120">
        <f>IF(OR(G120="",H120=""),"",IF(G120&gt;DATE(2021,3,31),0,DATEDIF(G120,MIN(H120,DATE(2021,3,31)),"m")+1))</f>
        <v/>
      </c>
      <c r="J120">
        <f>IF(OR(G120="",H120=""),"",IF(H120&lt;DATE(2021,4,1),0,DATEDIF(MAX(G120,DATE(2021,4,1)),H120,"m")+1))</f>
        <v/>
      </c>
      <c r="K120" s="6">
        <f>IF(I120="","",I120*F120)</f>
        <v/>
      </c>
      <c r="L120" s="6">
        <f>IF(J120="","",J120*F120*2)</f>
        <v/>
      </c>
      <c r="M120" s="6" t="n"/>
      <c r="N120" s="6" t="n"/>
      <c r="O120" s="6">
        <f>IF(K120="","",MAX(0,K120+L120-N(M120))+N(N120))</f>
        <v/>
      </c>
      <c r="P120" s="8">
        <f>IF(A120="","",0.3)</f>
        <v/>
      </c>
      <c r="Q120" s="6">
        <f>IF(O120="","",O120*P120)</f>
        <v/>
      </c>
      <c r="R120" s="6">
        <f>IF(O120="","",IF(E120="Vara Cível",O120*0.15,0))</f>
        <v/>
      </c>
      <c r="S120" s="6">
        <f>IF(O120="","",Q120+R120)</f>
        <v/>
      </c>
      <c r="T120">
        <f>IF(G120="","",IF(G120&lt;EDATE(TODAY(),-120),"⚠ mais de 10 anos — cortar janela",""))</f>
        <v/>
      </c>
    </row>
    <row r="121">
      <c r="F121" s="6" t="n"/>
      <c r="G121" s="7" t="n"/>
      <c r="H121" s="7" t="n"/>
      <c r="I121">
        <f>IF(OR(G121="",H121=""),"",IF(G121&gt;DATE(2021,3,31),0,DATEDIF(G121,MIN(H121,DATE(2021,3,31)),"m")+1))</f>
        <v/>
      </c>
      <c r="J121">
        <f>IF(OR(G121="",H121=""),"",IF(H121&lt;DATE(2021,4,1),0,DATEDIF(MAX(G121,DATE(2021,4,1)),H121,"m")+1))</f>
        <v/>
      </c>
      <c r="K121" s="6">
        <f>IF(I121="","",I121*F121)</f>
        <v/>
      </c>
      <c r="L121" s="6">
        <f>IF(J121="","",J121*F121*2)</f>
        <v/>
      </c>
      <c r="M121" s="6" t="n"/>
      <c r="N121" s="6" t="n"/>
      <c r="O121" s="6">
        <f>IF(K121="","",MAX(0,K121+L121-N(M121))+N(N121))</f>
        <v/>
      </c>
      <c r="P121" s="8">
        <f>IF(A121="","",0.3)</f>
        <v/>
      </c>
      <c r="Q121" s="6">
        <f>IF(O121="","",O121*P121)</f>
        <v/>
      </c>
      <c r="R121" s="6">
        <f>IF(O121="","",IF(E121="Vara Cível",O121*0.15,0))</f>
        <v/>
      </c>
      <c r="S121" s="6">
        <f>IF(O121="","",Q121+R121)</f>
        <v/>
      </c>
      <c r="T121">
        <f>IF(G121="","",IF(G121&lt;EDATE(TODAY(),-120),"⚠ mais de 10 anos — cortar janela",""))</f>
        <v/>
      </c>
    </row>
    <row r="122">
      <c r="F122" s="6" t="n"/>
      <c r="G122" s="7" t="n"/>
      <c r="H122" s="7" t="n"/>
      <c r="I122">
        <f>IF(OR(G122="",H122=""),"",IF(G122&gt;DATE(2021,3,31),0,DATEDIF(G122,MIN(H122,DATE(2021,3,31)),"m")+1))</f>
        <v/>
      </c>
      <c r="J122">
        <f>IF(OR(G122="",H122=""),"",IF(H122&lt;DATE(2021,4,1),0,DATEDIF(MAX(G122,DATE(2021,4,1)),H122,"m")+1))</f>
        <v/>
      </c>
      <c r="K122" s="6">
        <f>IF(I122="","",I122*F122)</f>
        <v/>
      </c>
      <c r="L122" s="6">
        <f>IF(J122="","",J122*F122*2)</f>
        <v/>
      </c>
      <c r="M122" s="6" t="n"/>
      <c r="N122" s="6" t="n"/>
      <c r="O122" s="6">
        <f>IF(K122="","",MAX(0,K122+L122-N(M122))+N(N122))</f>
        <v/>
      </c>
      <c r="P122" s="8">
        <f>IF(A122="","",0.3)</f>
        <v/>
      </c>
      <c r="Q122" s="6">
        <f>IF(O122="","",O122*P122)</f>
        <v/>
      </c>
      <c r="R122" s="6">
        <f>IF(O122="","",IF(E122="Vara Cível",O122*0.15,0))</f>
        <v/>
      </c>
      <c r="S122" s="6">
        <f>IF(O122="","",Q122+R122)</f>
        <v/>
      </c>
      <c r="T122">
        <f>IF(G122="","",IF(G122&lt;EDATE(TODAY(),-120),"⚠ mais de 10 anos — cortar janela",""))</f>
        <v/>
      </c>
    </row>
    <row r="123">
      <c r="F123" s="6" t="n"/>
      <c r="G123" s="7" t="n"/>
      <c r="H123" s="7" t="n"/>
      <c r="I123">
        <f>IF(OR(G123="",H123=""),"",IF(G123&gt;DATE(2021,3,31),0,DATEDIF(G123,MIN(H123,DATE(2021,3,31)),"m")+1))</f>
        <v/>
      </c>
      <c r="J123">
        <f>IF(OR(G123="",H123=""),"",IF(H123&lt;DATE(2021,4,1),0,DATEDIF(MAX(G123,DATE(2021,4,1)),H123,"m")+1))</f>
        <v/>
      </c>
      <c r="K123" s="6">
        <f>IF(I123="","",I123*F123)</f>
        <v/>
      </c>
      <c r="L123" s="6">
        <f>IF(J123="","",J123*F123*2)</f>
        <v/>
      </c>
      <c r="M123" s="6" t="n"/>
      <c r="N123" s="6" t="n"/>
      <c r="O123" s="6">
        <f>IF(K123="","",MAX(0,K123+L123-N(M123))+N(N123))</f>
        <v/>
      </c>
      <c r="P123" s="8">
        <f>IF(A123="","",0.3)</f>
        <v/>
      </c>
      <c r="Q123" s="6">
        <f>IF(O123="","",O123*P123)</f>
        <v/>
      </c>
      <c r="R123" s="6">
        <f>IF(O123="","",IF(E123="Vara Cível",O123*0.15,0))</f>
        <v/>
      </c>
      <c r="S123" s="6">
        <f>IF(O123="","",Q123+R123)</f>
        <v/>
      </c>
      <c r="T123">
        <f>IF(G123="","",IF(G123&lt;EDATE(TODAY(),-120),"⚠ mais de 10 anos — cortar janela",""))</f>
        <v/>
      </c>
    </row>
    <row r="124">
      <c r="F124" s="6" t="n"/>
      <c r="G124" s="7" t="n"/>
      <c r="H124" s="7" t="n"/>
      <c r="I124">
        <f>IF(OR(G124="",H124=""),"",IF(G124&gt;DATE(2021,3,31),0,DATEDIF(G124,MIN(H124,DATE(2021,3,31)),"m")+1))</f>
        <v/>
      </c>
      <c r="J124">
        <f>IF(OR(G124="",H124=""),"",IF(H124&lt;DATE(2021,4,1),0,DATEDIF(MAX(G124,DATE(2021,4,1)),H124,"m")+1))</f>
        <v/>
      </c>
      <c r="K124" s="6">
        <f>IF(I124="","",I124*F124)</f>
        <v/>
      </c>
      <c r="L124" s="6">
        <f>IF(J124="","",J124*F124*2)</f>
        <v/>
      </c>
      <c r="M124" s="6" t="n"/>
      <c r="N124" s="6" t="n"/>
      <c r="O124" s="6">
        <f>IF(K124="","",MAX(0,K124+L124-N(M124))+N(N124))</f>
        <v/>
      </c>
      <c r="P124" s="8">
        <f>IF(A124="","",0.3)</f>
        <v/>
      </c>
      <c r="Q124" s="6">
        <f>IF(O124="","",O124*P124)</f>
        <v/>
      </c>
      <c r="R124" s="6">
        <f>IF(O124="","",IF(E124="Vara Cível",O124*0.15,0))</f>
        <v/>
      </c>
      <c r="S124" s="6">
        <f>IF(O124="","",Q124+R124)</f>
        <v/>
      </c>
      <c r="T124">
        <f>IF(G124="","",IF(G124&lt;EDATE(TODAY(),-120),"⚠ mais de 10 anos — cortar janela",""))</f>
        <v/>
      </c>
    </row>
    <row r="125">
      <c r="F125" s="6" t="n"/>
      <c r="G125" s="7" t="n"/>
      <c r="H125" s="7" t="n"/>
      <c r="I125">
        <f>IF(OR(G125="",H125=""),"",IF(G125&gt;DATE(2021,3,31),0,DATEDIF(G125,MIN(H125,DATE(2021,3,31)),"m")+1))</f>
        <v/>
      </c>
      <c r="J125">
        <f>IF(OR(G125="",H125=""),"",IF(H125&lt;DATE(2021,4,1),0,DATEDIF(MAX(G125,DATE(2021,4,1)),H125,"m")+1))</f>
        <v/>
      </c>
      <c r="K125" s="6">
        <f>IF(I125="","",I125*F125)</f>
        <v/>
      </c>
      <c r="L125" s="6">
        <f>IF(J125="","",J125*F125*2)</f>
        <v/>
      </c>
      <c r="M125" s="6" t="n"/>
      <c r="N125" s="6" t="n"/>
      <c r="O125" s="6">
        <f>IF(K125="","",MAX(0,K125+L125-N(M125))+N(N125))</f>
        <v/>
      </c>
      <c r="P125" s="8">
        <f>IF(A125="","",0.3)</f>
        <v/>
      </c>
      <c r="Q125" s="6">
        <f>IF(O125="","",O125*P125)</f>
        <v/>
      </c>
      <c r="R125" s="6">
        <f>IF(O125="","",IF(E125="Vara Cível",O125*0.15,0))</f>
        <v/>
      </c>
      <c r="S125" s="6">
        <f>IF(O125="","",Q125+R125)</f>
        <v/>
      </c>
      <c r="T125">
        <f>IF(G125="","",IF(G125&lt;EDATE(TODAY(),-120),"⚠ mais de 10 anos — cortar janela",""))</f>
        <v/>
      </c>
    </row>
    <row r="126">
      <c r="F126" s="6" t="n"/>
      <c r="G126" s="7" t="n"/>
      <c r="H126" s="7" t="n"/>
      <c r="I126">
        <f>IF(OR(G126="",H126=""),"",IF(G126&gt;DATE(2021,3,31),0,DATEDIF(G126,MIN(H126,DATE(2021,3,31)),"m")+1))</f>
        <v/>
      </c>
      <c r="J126">
        <f>IF(OR(G126="",H126=""),"",IF(H126&lt;DATE(2021,4,1),0,DATEDIF(MAX(G126,DATE(2021,4,1)),H126,"m")+1))</f>
        <v/>
      </c>
      <c r="K126" s="6">
        <f>IF(I126="","",I126*F126)</f>
        <v/>
      </c>
      <c r="L126" s="6">
        <f>IF(J126="","",J126*F126*2)</f>
        <v/>
      </c>
      <c r="M126" s="6" t="n"/>
      <c r="N126" s="6" t="n"/>
      <c r="O126" s="6">
        <f>IF(K126="","",MAX(0,K126+L126-N(M126))+N(N126))</f>
        <v/>
      </c>
      <c r="P126" s="8">
        <f>IF(A126="","",0.3)</f>
        <v/>
      </c>
      <c r="Q126" s="6">
        <f>IF(O126="","",O126*P126)</f>
        <v/>
      </c>
      <c r="R126" s="6">
        <f>IF(O126="","",IF(E126="Vara Cível",O126*0.15,0))</f>
        <v/>
      </c>
      <c r="S126" s="6">
        <f>IF(O126="","",Q126+R126)</f>
        <v/>
      </c>
      <c r="T126">
        <f>IF(G126="","",IF(G126&lt;EDATE(TODAY(),-120),"⚠ mais de 10 anos — cortar janela",""))</f>
        <v/>
      </c>
    </row>
    <row r="127">
      <c r="F127" s="6" t="n"/>
      <c r="G127" s="7" t="n"/>
      <c r="H127" s="7" t="n"/>
      <c r="I127">
        <f>IF(OR(G127="",H127=""),"",IF(G127&gt;DATE(2021,3,31),0,DATEDIF(G127,MIN(H127,DATE(2021,3,31)),"m")+1))</f>
        <v/>
      </c>
      <c r="J127">
        <f>IF(OR(G127="",H127=""),"",IF(H127&lt;DATE(2021,4,1),0,DATEDIF(MAX(G127,DATE(2021,4,1)),H127,"m")+1))</f>
        <v/>
      </c>
      <c r="K127" s="6">
        <f>IF(I127="","",I127*F127)</f>
        <v/>
      </c>
      <c r="L127" s="6">
        <f>IF(J127="","",J127*F127*2)</f>
        <v/>
      </c>
      <c r="M127" s="6" t="n"/>
      <c r="N127" s="6" t="n"/>
      <c r="O127" s="6">
        <f>IF(K127="","",MAX(0,K127+L127-N(M127))+N(N127))</f>
        <v/>
      </c>
      <c r="P127" s="8">
        <f>IF(A127="","",0.3)</f>
        <v/>
      </c>
      <c r="Q127" s="6">
        <f>IF(O127="","",O127*P127)</f>
        <v/>
      </c>
      <c r="R127" s="6">
        <f>IF(O127="","",IF(E127="Vara Cível",O127*0.15,0))</f>
        <v/>
      </c>
      <c r="S127" s="6">
        <f>IF(O127="","",Q127+R127)</f>
        <v/>
      </c>
      <c r="T127">
        <f>IF(G127="","",IF(G127&lt;EDATE(TODAY(),-120),"⚠ mais de 10 anos — cortar janela",""))</f>
        <v/>
      </c>
    </row>
    <row r="128">
      <c r="F128" s="6" t="n"/>
      <c r="G128" s="7" t="n"/>
      <c r="H128" s="7" t="n"/>
      <c r="I128">
        <f>IF(OR(G128="",H128=""),"",IF(G128&gt;DATE(2021,3,31),0,DATEDIF(G128,MIN(H128,DATE(2021,3,31)),"m")+1))</f>
        <v/>
      </c>
      <c r="J128">
        <f>IF(OR(G128="",H128=""),"",IF(H128&lt;DATE(2021,4,1),0,DATEDIF(MAX(G128,DATE(2021,4,1)),H128,"m")+1))</f>
        <v/>
      </c>
      <c r="K128" s="6">
        <f>IF(I128="","",I128*F128)</f>
        <v/>
      </c>
      <c r="L128" s="6">
        <f>IF(J128="","",J128*F128*2)</f>
        <v/>
      </c>
      <c r="M128" s="6" t="n"/>
      <c r="N128" s="6" t="n"/>
      <c r="O128" s="6">
        <f>IF(K128="","",MAX(0,K128+L128-N(M128))+N(N128))</f>
        <v/>
      </c>
      <c r="P128" s="8">
        <f>IF(A128="","",0.3)</f>
        <v/>
      </c>
      <c r="Q128" s="6">
        <f>IF(O128="","",O128*P128)</f>
        <v/>
      </c>
      <c r="R128" s="6">
        <f>IF(O128="","",IF(E128="Vara Cível",O128*0.15,0))</f>
        <v/>
      </c>
      <c r="S128" s="6">
        <f>IF(O128="","",Q128+R128)</f>
        <v/>
      </c>
      <c r="T128">
        <f>IF(G128="","",IF(G128&lt;EDATE(TODAY(),-120),"⚠ mais de 10 anos — cortar janela",""))</f>
        <v/>
      </c>
    </row>
    <row r="129">
      <c r="F129" s="6" t="n"/>
      <c r="G129" s="7" t="n"/>
      <c r="H129" s="7" t="n"/>
      <c r="I129">
        <f>IF(OR(G129="",H129=""),"",IF(G129&gt;DATE(2021,3,31),0,DATEDIF(G129,MIN(H129,DATE(2021,3,31)),"m")+1))</f>
        <v/>
      </c>
      <c r="J129">
        <f>IF(OR(G129="",H129=""),"",IF(H129&lt;DATE(2021,4,1),0,DATEDIF(MAX(G129,DATE(2021,4,1)),H129,"m")+1))</f>
        <v/>
      </c>
      <c r="K129" s="6">
        <f>IF(I129="","",I129*F129)</f>
        <v/>
      </c>
      <c r="L129" s="6">
        <f>IF(J129="","",J129*F129*2)</f>
        <v/>
      </c>
      <c r="M129" s="6" t="n"/>
      <c r="N129" s="6" t="n"/>
      <c r="O129" s="6">
        <f>IF(K129="","",MAX(0,K129+L129-N(M129))+N(N129))</f>
        <v/>
      </c>
      <c r="P129" s="8">
        <f>IF(A129="","",0.3)</f>
        <v/>
      </c>
      <c r="Q129" s="6">
        <f>IF(O129="","",O129*P129)</f>
        <v/>
      </c>
      <c r="R129" s="6">
        <f>IF(O129="","",IF(E129="Vara Cível",O129*0.15,0))</f>
        <v/>
      </c>
      <c r="S129" s="6">
        <f>IF(O129="","",Q129+R129)</f>
        <v/>
      </c>
      <c r="T129">
        <f>IF(G129="","",IF(G129&lt;EDATE(TODAY(),-120),"⚠ mais de 10 anos — cortar janela",""))</f>
        <v/>
      </c>
    </row>
    <row r="130">
      <c r="F130" s="6" t="n"/>
      <c r="G130" s="7" t="n"/>
      <c r="H130" s="7" t="n"/>
      <c r="I130">
        <f>IF(OR(G130="",H130=""),"",IF(G130&gt;DATE(2021,3,31),0,DATEDIF(G130,MIN(H130,DATE(2021,3,31)),"m")+1))</f>
        <v/>
      </c>
      <c r="J130">
        <f>IF(OR(G130="",H130=""),"",IF(H130&lt;DATE(2021,4,1),0,DATEDIF(MAX(G130,DATE(2021,4,1)),H130,"m")+1))</f>
        <v/>
      </c>
      <c r="K130" s="6">
        <f>IF(I130="","",I130*F130)</f>
        <v/>
      </c>
      <c r="L130" s="6">
        <f>IF(J130="","",J130*F130*2)</f>
        <v/>
      </c>
      <c r="M130" s="6" t="n"/>
      <c r="N130" s="6" t="n"/>
      <c r="O130" s="6">
        <f>IF(K130="","",MAX(0,K130+L130-N(M130))+N(N130))</f>
        <v/>
      </c>
      <c r="P130" s="8">
        <f>IF(A130="","",0.3)</f>
        <v/>
      </c>
      <c r="Q130" s="6">
        <f>IF(O130="","",O130*P130)</f>
        <v/>
      </c>
      <c r="R130" s="6">
        <f>IF(O130="","",IF(E130="Vara Cível",O130*0.15,0))</f>
        <v/>
      </c>
      <c r="S130" s="6">
        <f>IF(O130="","",Q130+R130)</f>
        <v/>
      </c>
      <c r="T130">
        <f>IF(G130="","",IF(G130&lt;EDATE(TODAY(),-120),"⚠ mais de 10 anos — cortar janela",""))</f>
        <v/>
      </c>
    </row>
    <row r="131">
      <c r="F131" s="6" t="n"/>
      <c r="G131" s="7" t="n"/>
      <c r="H131" s="7" t="n"/>
      <c r="I131">
        <f>IF(OR(G131="",H131=""),"",IF(G131&gt;DATE(2021,3,31),0,DATEDIF(G131,MIN(H131,DATE(2021,3,31)),"m")+1))</f>
        <v/>
      </c>
      <c r="J131">
        <f>IF(OR(G131="",H131=""),"",IF(H131&lt;DATE(2021,4,1),0,DATEDIF(MAX(G131,DATE(2021,4,1)),H131,"m")+1))</f>
        <v/>
      </c>
      <c r="K131" s="6">
        <f>IF(I131="","",I131*F131)</f>
        <v/>
      </c>
      <c r="L131" s="6">
        <f>IF(J131="","",J131*F131*2)</f>
        <v/>
      </c>
      <c r="M131" s="6" t="n"/>
      <c r="N131" s="6" t="n"/>
      <c r="O131" s="6">
        <f>IF(K131="","",MAX(0,K131+L131-N(M131))+N(N131))</f>
        <v/>
      </c>
      <c r="P131" s="8">
        <f>IF(A131="","",0.3)</f>
        <v/>
      </c>
      <c r="Q131" s="6">
        <f>IF(O131="","",O131*P131)</f>
        <v/>
      </c>
      <c r="R131" s="6">
        <f>IF(O131="","",IF(E131="Vara Cível",O131*0.15,0))</f>
        <v/>
      </c>
      <c r="S131" s="6">
        <f>IF(O131="","",Q131+R131)</f>
        <v/>
      </c>
      <c r="T131">
        <f>IF(G131="","",IF(G131&lt;EDATE(TODAY(),-120),"⚠ mais de 10 anos — cortar janela",""))</f>
        <v/>
      </c>
    </row>
    <row r="132">
      <c r="F132" s="6" t="n"/>
      <c r="G132" s="7" t="n"/>
      <c r="H132" s="7" t="n"/>
      <c r="I132">
        <f>IF(OR(G132="",H132=""),"",IF(G132&gt;DATE(2021,3,31),0,DATEDIF(G132,MIN(H132,DATE(2021,3,31)),"m")+1))</f>
        <v/>
      </c>
      <c r="J132">
        <f>IF(OR(G132="",H132=""),"",IF(H132&lt;DATE(2021,4,1),0,DATEDIF(MAX(G132,DATE(2021,4,1)),H132,"m")+1))</f>
        <v/>
      </c>
      <c r="K132" s="6">
        <f>IF(I132="","",I132*F132)</f>
        <v/>
      </c>
      <c r="L132" s="6">
        <f>IF(J132="","",J132*F132*2)</f>
        <v/>
      </c>
      <c r="M132" s="6" t="n"/>
      <c r="N132" s="6" t="n"/>
      <c r="O132" s="6">
        <f>IF(K132="","",MAX(0,K132+L132-N(M132))+N(N132))</f>
        <v/>
      </c>
      <c r="P132" s="8">
        <f>IF(A132="","",0.3)</f>
        <v/>
      </c>
      <c r="Q132" s="6">
        <f>IF(O132="","",O132*P132)</f>
        <v/>
      </c>
      <c r="R132" s="6">
        <f>IF(O132="","",IF(E132="Vara Cível",O132*0.15,0))</f>
        <v/>
      </c>
      <c r="S132" s="6">
        <f>IF(O132="","",Q132+R132)</f>
        <v/>
      </c>
      <c r="T132">
        <f>IF(G132="","",IF(G132&lt;EDATE(TODAY(),-120),"⚠ mais de 10 anos — cortar janela",""))</f>
        <v/>
      </c>
    </row>
    <row r="133">
      <c r="F133" s="6" t="n"/>
      <c r="G133" s="7" t="n"/>
      <c r="H133" s="7" t="n"/>
      <c r="I133">
        <f>IF(OR(G133="",H133=""),"",IF(G133&gt;DATE(2021,3,31),0,DATEDIF(G133,MIN(H133,DATE(2021,3,31)),"m")+1))</f>
        <v/>
      </c>
      <c r="J133">
        <f>IF(OR(G133="",H133=""),"",IF(H133&lt;DATE(2021,4,1),0,DATEDIF(MAX(G133,DATE(2021,4,1)),H133,"m")+1))</f>
        <v/>
      </c>
      <c r="K133" s="6">
        <f>IF(I133="","",I133*F133)</f>
        <v/>
      </c>
      <c r="L133" s="6">
        <f>IF(J133="","",J133*F133*2)</f>
        <v/>
      </c>
      <c r="M133" s="6" t="n"/>
      <c r="N133" s="6" t="n"/>
      <c r="O133" s="6">
        <f>IF(K133="","",MAX(0,K133+L133-N(M133))+N(N133))</f>
        <v/>
      </c>
      <c r="P133" s="8">
        <f>IF(A133="","",0.3)</f>
        <v/>
      </c>
      <c r="Q133" s="6">
        <f>IF(O133="","",O133*P133)</f>
        <v/>
      </c>
      <c r="R133" s="6">
        <f>IF(O133="","",IF(E133="Vara Cível",O133*0.15,0))</f>
        <v/>
      </c>
      <c r="S133" s="6">
        <f>IF(O133="","",Q133+R133)</f>
        <v/>
      </c>
      <c r="T133">
        <f>IF(G133="","",IF(G133&lt;EDATE(TODAY(),-120),"⚠ mais de 10 anos — cortar janela",""))</f>
        <v/>
      </c>
    </row>
    <row r="134">
      <c r="F134" s="6" t="n"/>
      <c r="G134" s="7" t="n"/>
      <c r="H134" s="7" t="n"/>
      <c r="I134">
        <f>IF(OR(G134="",H134=""),"",IF(G134&gt;DATE(2021,3,31),0,DATEDIF(G134,MIN(H134,DATE(2021,3,31)),"m")+1))</f>
        <v/>
      </c>
      <c r="J134">
        <f>IF(OR(G134="",H134=""),"",IF(H134&lt;DATE(2021,4,1),0,DATEDIF(MAX(G134,DATE(2021,4,1)),H134,"m")+1))</f>
        <v/>
      </c>
      <c r="K134" s="6">
        <f>IF(I134="","",I134*F134)</f>
        <v/>
      </c>
      <c r="L134" s="6">
        <f>IF(J134="","",J134*F134*2)</f>
        <v/>
      </c>
      <c r="M134" s="6" t="n"/>
      <c r="N134" s="6" t="n"/>
      <c r="O134" s="6">
        <f>IF(K134="","",MAX(0,K134+L134-N(M134))+N(N134))</f>
        <v/>
      </c>
      <c r="P134" s="8">
        <f>IF(A134="","",0.3)</f>
        <v/>
      </c>
      <c r="Q134" s="6">
        <f>IF(O134="","",O134*P134)</f>
        <v/>
      </c>
      <c r="R134" s="6">
        <f>IF(O134="","",IF(E134="Vara Cível",O134*0.15,0))</f>
        <v/>
      </c>
      <c r="S134" s="6">
        <f>IF(O134="","",Q134+R134)</f>
        <v/>
      </c>
      <c r="T134">
        <f>IF(G134="","",IF(G134&lt;EDATE(TODAY(),-120),"⚠ mais de 10 anos — cortar janela",""))</f>
        <v/>
      </c>
    </row>
    <row r="135">
      <c r="F135" s="6" t="n"/>
      <c r="G135" s="7" t="n"/>
      <c r="H135" s="7" t="n"/>
      <c r="I135">
        <f>IF(OR(G135="",H135=""),"",IF(G135&gt;DATE(2021,3,31),0,DATEDIF(G135,MIN(H135,DATE(2021,3,31)),"m")+1))</f>
        <v/>
      </c>
      <c r="J135">
        <f>IF(OR(G135="",H135=""),"",IF(H135&lt;DATE(2021,4,1),0,DATEDIF(MAX(G135,DATE(2021,4,1)),H135,"m")+1))</f>
        <v/>
      </c>
      <c r="K135" s="6">
        <f>IF(I135="","",I135*F135)</f>
        <v/>
      </c>
      <c r="L135" s="6">
        <f>IF(J135="","",J135*F135*2)</f>
        <v/>
      </c>
      <c r="M135" s="6" t="n"/>
      <c r="N135" s="6" t="n"/>
      <c r="O135" s="6">
        <f>IF(K135="","",MAX(0,K135+L135-N(M135))+N(N135))</f>
        <v/>
      </c>
      <c r="P135" s="8">
        <f>IF(A135="","",0.3)</f>
        <v/>
      </c>
      <c r="Q135" s="6">
        <f>IF(O135="","",O135*P135)</f>
        <v/>
      </c>
      <c r="R135" s="6">
        <f>IF(O135="","",IF(E135="Vara Cível",O135*0.15,0))</f>
        <v/>
      </c>
      <c r="S135" s="6">
        <f>IF(O135="","",Q135+R135)</f>
        <v/>
      </c>
      <c r="T135">
        <f>IF(G135="","",IF(G135&lt;EDATE(TODAY(),-120),"⚠ mais de 10 anos — cortar janela",""))</f>
        <v/>
      </c>
    </row>
    <row r="136">
      <c r="F136" s="6" t="n"/>
      <c r="G136" s="7" t="n"/>
      <c r="H136" s="7" t="n"/>
      <c r="I136">
        <f>IF(OR(G136="",H136=""),"",IF(G136&gt;DATE(2021,3,31),0,DATEDIF(G136,MIN(H136,DATE(2021,3,31)),"m")+1))</f>
        <v/>
      </c>
      <c r="J136">
        <f>IF(OR(G136="",H136=""),"",IF(H136&lt;DATE(2021,4,1),0,DATEDIF(MAX(G136,DATE(2021,4,1)),H136,"m")+1))</f>
        <v/>
      </c>
      <c r="K136" s="6">
        <f>IF(I136="","",I136*F136)</f>
        <v/>
      </c>
      <c r="L136" s="6">
        <f>IF(J136="","",J136*F136*2)</f>
        <v/>
      </c>
      <c r="M136" s="6" t="n"/>
      <c r="N136" s="6" t="n"/>
      <c r="O136" s="6">
        <f>IF(K136="","",MAX(0,K136+L136-N(M136))+N(N136))</f>
        <v/>
      </c>
      <c r="P136" s="8">
        <f>IF(A136="","",0.3)</f>
        <v/>
      </c>
      <c r="Q136" s="6">
        <f>IF(O136="","",O136*P136)</f>
        <v/>
      </c>
      <c r="R136" s="6">
        <f>IF(O136="","",IF(E136="Vara Cível",O136*0.15,0))</f>
        <v/>
      </c>
      <c r="S136" s="6">
        <f>IF(O136="","",Q136+R136)</f>
        <v/>
      </c>
      <c r="T136">
        <f>IF(G136="","",IF(G136&lt;EDATE(TODAY(),-120),"⚠ mais de 10 anos — cortar janela",""))</f>
        <v/>
      </c>
    </row>
    <row r="137">
      <c r="F137" s="6" t="n"/>
      <c r="G137" s="7" t="n"/>
      <c r="H137" s="7" t="n"/>
      <c r="I137">
        <f>IF(OR(G137="",H137=""),"",IF(G137&gt;DATE(2021,3,31),0,DATEDIF(G137,MIN(H137,DATE(2021,3,31)),"m")+1))</f>
        <v/>
      </c>
      <c r="J137">
        <f>IF(OR(G137="",H137=""),"",IF(H137&lt;DATE(2021,4,1),0,DATEDIF(MAX(G137,DATE(2021,4,1)),H137,"m")+1))</f>
        <v/>
      </c>
      <c r="K137" s="6">
        <f>IF(I137="","",I137*F137)</f>
        <v/>
      </c>
      <c r="L137" s="6">
        <f>IF(J137="","",J137*F137*2)</f>
        <v/>
      </c>
      <c r="M137" s="6" t="n"/>
      <c r="N137" s="6" t="n"/>
      <c r="O137" s="6">
        <f>IF(K137="","",MAX(0,K137+L137-N(M137))+N(N137))</f>
        <v/>
      </c>
      <c r="P137" s="8">
        <f>IF(A137="","",0.3)</f>
        <v/>
      </c>
      <c r="Q137" s="6">
        <f>IF(O137="","",O137*P137)</f>
        <v/>
      </c>
      <c r="R137" s="6">
        <f>IF(O137="","",IF(E137="Vara Cível",O137*0.15,0))</f>
        <v/>
      </c>
      <c r="S137" s="6">
        <f>IF(O137="","",Q137+R137)</f>
        <v/>
      </c>
      <c r="T137">
        <f>IF(G137="","",IF(G137&lt;EDATE(TODAY(),-120),"⚠ mais de 10 anos — cortar janela",""))</f>
        <v/>
      </c>
    </row>
    <row r="138">
      <c r="F138" s="6" t="n"/>
      <c r="G138" s="7" t="n"/>
      <c r="H138" s="7" t="n"/>
      <c r="I138">
        <f>IF(OR(G138="",H138=""),"",IF(G138&gt;DATE(2021,3,31),0,DATEDIF(G138,MIN(H138,DATE(2021,3,31)),"m")+1))</f>
        <v/>
      </c>
      <c r="J138">
        <f>IF(OR(G138="",H138=""),"",IF(H138&lt;DATE(2021,4,1),0,DATEDIF(MAX(G138,DATE(2021,4,1)),H138,"m")+1))</f>
        <v/>
      </c>
      <c r="K138" s="6">
        <f>IF(I138="","",I138*F138)</f>
        <v/>
      </c>
      <c r="L138" s="6">
        <f>IF(J138="","",J138*F138*2)</f>
        <v/>
      </c>
      <c r="M138" s="6" t="n"/>
      <c r="N138" s="6" t="n"/>
      <c r="O138" s="6">
        <f>IF(K138="","",MAX(0,K138+L138-N(M138))+N(N138))</f>
        <v/>
      </c>
      <c r="P138" s="8">
        <f>IF(A138="","",0.3)</f>
        <v/>
      </c>
      <c r="Q138" s="6">
        <f>IF(O138="","",O138*P138)</f>
        <v/>
      </c>
      <c r="R138" s="6">
        <f>IF(O138="","",IF(E138="Vara Cível",O138*0.15,0))</f>
        <v/>
      </c>
      <c r="S138" s="6">
        <f>IF(O138="","",Q138+R138)</f>
        <v/>
      </c>
      <c r="T138">
        <f>IF(G138="","",IF(G138&lt;EDATE(TODAY(),-120),"⚠ mais de 10 anos — cortar janela",""))</f>
        <v/>
      </c>
    </row>
    <row r="139">
      <c r="F139" s="6" t="n"/>
      <c r="G139" s="7" t="n"/>
      <c r="H139" s="7" t="n"/>
      <c r="I139">
        <f>IF(OR(G139="",H139=""),"",IF(G139&gt;DATE(2021,3,31),0,DATEDIF(G139,MIN(H139,DATE(2021,3,31)),"m")+1))</f>
        <v/>
      </c>
      <c r="J139">
        <f>IF(OR(G139="",H139=""),"",IF(H139&lt;DATE(2021,4,1),0,DATEDIF(MAX(G139,DATE(2021,4,1)),H139,"m")+1))</f>
        <v/>
      </c>
      <c r="K139" s="6">
        <f>IF(I139="","",I139*F139)</f>
        <v/>
      </c>
      <c r="L139" s="6">
        <f>IF(J139="","",J139*F139*2)</f>
        <v/>
      </c>
      <c r="M139" s="6" t="n"/>
      <c r="N139" s="6" t="n"/>
      <c r="O139" s="6">
        <f>IF(K139="","",MAX(0,K139+L139-N(M139))+N(N139))</f>
        <v/>
      </c>
      <c r="P139" s="8">
        <f>IF(A139="","",0.3)</f>
        <v/>
      </c>
      <c r="Q139" s="6">
        <f>IF(O139="","",O139*P139)</f>
        <v/>
      </c>
      <c r="R139" s="6">
        <f>IF(O139="","",IF(E139="Vara Cível",O139*0.15,0))</f>
        <v/>
      </c>
      <c r="S139" s="6">
        <f>IF(O139="","",Q139+R139)</f>
        <v/>
      </c>
      <c r="T139">
        <f>IF(G139="","",IF(G139&lt;EDATE(TODAY(),-120),"⚠ mais de 10 anos — cortar janela",""))</f>
        <v/>
      </c>
    </row>
    <row r="140">
      <c r="F140" s="6" t="n"/>
      <c r="G140" s="7" t="n"/>
      <c r="H140" s="7" t="n"/>
      <c r="I140">
        <f>IF(OR(G140="",H140=""),"",IF(G140&gt;DATE(2021,3,31),0,DATEDIF(G140,MIN(H140,DATE(2021,3,31)),"m")+1))</f>
        <v/>
      </c>
      <c r="J140">
        <f>IF(OR(G140="",H140=""),"",IF(H140&lt;DATE(2021,4,1),0,DATEDIF(MAX(G140,DATE(2021,4,1)),H140,"m")+1))</f>
        <v/>
      </c>
      <c r="K140" s="6">
        <f>IF(I140="","",I140*F140)</f>
        <v/>
      </c>
      <c r="L140" s="6">
        <f>IF(J140="","",J140*F140*2)</f>
        <v/>
      </c>
      <c r="M140" s="6" t="n"/>
      <c r="N140" s="6" t="n"/>
      <c r="O140" s="6">
        <f>IF(K140="","",MAX(0,K140+L140-N(M140))+N(N140))</f>
        <v/>
      </c>
      <c r="P140" s="8">
        <f>IF(A140="","",0.3)</f>
        <v/>
      </c>
      <c r="Q140" s="6">
        <f>IF(O140="","",O140*P140)</f>
        <v/>
      </c>
      <c r="R140" s="6">
        <f>IF(O140="","",IF(E140="Vara Cível",O140*0.15,0))</f>
        <v/>
      </c>
      <c r="S140" s="6">
        <f>IF(O140="","",Q140+R140)</f>
        <v/>
      </c>
      <c r="T140">
        <f>IF(G140="","",IF(G140&lt;EDATE(TODAY(),-120),"⚠ mais de 10 anos — cortar janela",""))</f>
        <v/>
      </c>
    </row>
    <row r="141">
      <c r="F141" s="6" t="n"/>
      <c r="G141" s="7" t="n"/>
      <c r="H141" s="7" t="n"/>
      <c r="I141">
        <f>IF(OR(G141="",H141=""),"",IF(G141&gt;DATE(2021,3,31),0,DATEDIF(G141,MIN(H141,DATE(2021,3,31)),"m")+1))</f>
        <v/>
      </c>
      <c r="J141">
        <f>IF(OR(G141="",H141=""),"",IF(H141&lt;DATE(2021,4,1),0,DATEDIF(MAX(G141,DATE(2021,4,1)),H141,"m")+1))</f>
        <v/>
      </c>
      <c r="K141" s="6">
        <f>IF(I141="","",I141*F141)</f>
        <v/>
      </c>
      <c r="L141" s="6">
        <f>IF(J141="","",J141*F141*2)</f>
        <v/>
      </c>
      <c r="M141" s="6" t="n"/>
      <c r="N141" s="6" t="n"/>
      <c r="O141" s="6">
        <f>IF(K141="","",MAX(0,K141+L141-N(M141))+N(N141))</f>
        <v/>
      </c>
      <c r="P141" s="8">
        <f>IF(A141="","",0.3)</f>
        <v/>
      </c>
      <c r="Q141" s="6">
        <f>IF(O141="","",O141*P141)</f>
        <v/>
      </c>
      <c r="R141" s="6">
        <f>IF(O141="","",IF(E141="Vara Cível",O141*0.15,0))</f>
        <v/>
      </c>
      <c r="S141" s="6">
        <f>IF(O141="","",Q141+R141)</f>
        <v/>
      </c>
      <c r="T141">
        <f>IF(G141="","",IF(G141&lt;EDATE(TODAY(),-120),"⚠ mais de 10 anos — cortar janela",""))</f>
        <v/>
      </c>
    </row>
    <row r="142">
      <c r="F142" s="6" t="n"/>
      <c r="G142" s="7" t="n"/>
      <c r="H142" s="7" t="n"/>
      <c r="I142">
        <f>IF(OR(G142="",H142=""),"",IF(G142&gt;DATE(2021,3,31),0,DATEDIF(G142,MIN(H142,DATE(2021,3,31)),"m")+1))</f>
        <v/>
      </c>
      <c r="J142">
        <f>IF(OR(G142="",H142=""),"",IF(H142&lt;DATE(2021,4,1),0,DATEDIF(MAX(G142,DATE(2021,4,1)),H142,"m")+1))</f>
        <v/>
      </c>
      <c r="K142" s="6">
        <f>IF(I142="","",I142*F142)</f>
        <v/>
      </c>
      <c r="L142" s="6">
        <f>IF(J142="","",J142*F142*2)</f>
        <v/>
      </c>
      <c r="M142" s="6" t="n"/>
      <c r="N142" s="6" t="n"/>
      <c r="O142" s="6">
        <f>IF(K142="","",MAX(0,K142+L142-N(M142))+N(N142))</f>
        <v/>
      </c>
      <c r="P142" s="8">
        <f>IF(A142="","",0.3)</f>
        <v/>
      </c>
      <c r="Q142" s="6">
        <f>IF(O142="","",O142*P142)</f>
        <v/>
      </c>
      <c r="R142" s="6">
        <f>IF(O142="","",IF(E142="Vara Cível",O142*0.15,0))</f>
        <v/>
      </c>
      <c r="S142" s="6">
        <f>IF(O142="","",Q142+R142)</f>
        <v/>
      </c>
      <c r="T142">
        <f>IF(G142="","",IF(G142&lt;EDATE(TODAY(),-120),"⚠ mais de 10 anos — cortar janela",""))</f>
        <v/>
      </c>
    </row>
    <row r="143">
      <c r="F143" s="6" t="n"/>
      <c r="G143" s="7" t="n"/>
      <c r="H143" s="7" t="n"/>
      <c r="I143">
        <f>IF(OR(G143="",H143=""),"",IF(G143&gt;DATE(2021,3,31),0,DATEDIF(G143,MIN(H143,DATE(2021,3,31)),"m")+1))</f>
        <v/>
      </c>
      <c r="J143">
        <f>IF(OR(G143="",H143=""),"",IF(H143&lt;DATE(2021,4,1),0,DATEDIF(MAX(G143,DATE(2021,4,1)),H143,"m")+1))</f>
        <v/>
      </c>
      <c r="K143" s="6">
        <f>IF(I143="","",I143*F143)</f>
        <v/>
      </c>
      <c r="L143" s="6">
        <f>IF(J143="","",J143*F143*2)</f>
        <v/>
      </c>
      <c r="M143" s="6" t="n"/>
      <c r="N143" s="6" t="n"/>
      <c r="O143" s="6">
        <f>IF(K143="","",MAX(0,K143+L143-N(M143))+N(N143))</f>
        <v/>
      </c>
      <c r="P143" s="8">
        <f>IF(A143="","",0.3)</f>
        <v/>
      </c>
      <c r="Q143" s="6">
        <f>IF(O143="","",O143*P143)</f>
        <v/>
      </c>
      <c r="R143" s="6">
        <f>IF(O143="","",IF(E143="Vara Cível",O143*0.15,0))</f>
        <v/>
      </c>
      <c r="S143" s="6">
        <f>IF(O143="","",Q143+R143)</f>
        <v/>
      </c>
      <c r="T143">
        <f>IF(G143="","",IF(G143&lt;EDATE(TODAY(),-120),"⚠ mais de 10 anos — cortar janela",""))</f>
        <v/>
      </c>
    </row>
    <row r="144">
      <c r="F144" s="6" t="n"/>
      <c r="G144" s="7" t="n"/>
      <c r="H144" s="7" t="n"/>
      <c r="I144">
        <f>IF(OR(G144="",H144=""),"",IF(G144&gt;DATE(2021,3,31),0,DATEDIF(G144,MIN(H144,DATE(2021,3,31)),"m")+1))</f>
        <v/>
      </c>
      <c r="J144">
        <f>IF(OR(G144="",H144=""),"",IF(H144&lt;DATE(2021,4,1),0,DATEDIF(MAX(G144,DATE(2021,4,1)),H144,"m")+1))</f>
        <v/>
      </c>
      <c r="K144" s="6">
        <f>IF(I144="","",I144*F144)</f>
        <v/>
      </c>
      <c r="L144" s="6">
        <f>IF(J144="","",J144*F144*2)</f>
        <v/>
      </c>
      <c r="M144" s="6" t="n"/>
      <c r="N144" s="6" t="n"/>
      <c r="O144" s="6">
        <f>IF(K144="","",MAX(0,K144+L144-N(M144))+N(N144))</f>
        <v/>
      </c>
      <c r="P144" s="8">
        <f>IF(A144="","",0.3)</f>
        <v/>
      </c>
      <c r="Q144" s="6">
        <f>IF(O144="","",O144*P144)</f>
        <v/>
      </c>
      <c r="R144" s="6">
        <f>IF(O144="","",IF(E144="Vara Cível",O144*0.15,0))</f>
        <v/>
      </c>
      <c r="S144" s="6">
        <f>IF(O144="","",Q144+R144)</f>
        <v/>
      </c>
      <c r="T144">
        <f>IF(G144="","",IF(G144&lt;EDATE(TODAY(),-120),"⚠ mais de 10 anos — cortar janela",""))</f>
        <v/>
      </c>
    </row>
    <row r="145">
      <c r="F145" s="6" t="n"/>
      <c r="G145" s="7" t="n"/>
      <c r="H145" s="7" t="n"/>
      <c r="I145">
        <f>IF(OR(G145="",H145=""),"",IF(G145&gt;DATE(2021,3,31),0,DATEDIF(G145,MIN(H145,DATE(2021,3,31)),"m")+1))</f>
        <v/>
      </c>
      <c r="J145">
        <f>IF(OR(G145="",H145=""),"",IF(H145&lt;DATE(2021,4,1),0,DATEDIF(MAX(G145,DATE(2021,4,1)),H145,"m")+1))</f>
        <v/>
      </c>
      <c r="K145" s="6">
        <f>IF(I145="","",I145*F145)</f>
        <v/>
      </c>
      <c r="L145" s="6">
        <f>IF(J145="","",J145*F145*2)</f>
        <v/>
      </c>
      <c r="M145" s="6" t="n"/>
      <c r="N145" s="6" t="n"/>
      <c r="O145" s="6">
        <f>IF(K145="","",MAX(0,K145+L145-N(M145))+N(N145))</f>
        <v/>
      </c>
      <c r="P145" s="8">
        <f>IF(A145="","",0.3)</f>
        <v/>
      </c>
      <c r="Q145" s="6">
        <f>IF(O145="","",O145*P145)</f>
        <v/>
      </c>
      <c r="R145" s="6">
        <f>IF(O145="","",IF(E145="Vara Cível",O145*0.15,0))</f>
        <v/>
      </c>
      <c r="S145" s="6">
        <f>IF(O145="","",Q145+R145)</f>
        <v/>
      </c>
      <c r="T145">
        <f>IF(G145="","",IF(G145&lt;EDATE(TODAY(),-120),"⚠ mais de 10 anos — cortar janela",""))</f>
        <v/>
      </c>
    </row>
    <row r="146">
      <c r="F146" s="6" t="n"/>
      <c r="G146" s="7" t="n"/>
      <c r="H146" s="7" t="n"/>
      <c r="I146">
        <f>IF(OR(G146="",H146=""),"",IF(G146&gt;DATE(2021,3,31),0,DATEDIF(G146,MIN(H146,DATE(2021,3,31)),"m")+1))</f>
        <v/>
      </c>
      <c r="J146">
        <f>IF(OR(G146="",H146=""),"",IF(H146&lt;DATE(2021,4,1),0,DATEDIF(MAX(G146,DATE(2021,4,1)),H146,"m")+1))</f>
        <v/>
      </c>
      <c r="K146" s="6">
        <f>IF(I146="","",I146*F146)</f>
        <v/>
      </c>
      <c r="L146" s="6">
        <f>IF(J146="","",J146*F146*2)</f>
        <v/>
      </c>
      <c r="M146" s="6" t="n"/>
      <c r="N146" s="6" t="n"/>
      <c r="O146" s="6">
        <f>IF(K146="","",MAX(0,K146+L146-N(M146))+N(N146))</f>
        <v/>
      </c>
      <c r="P146" s="8">
        <f>IF(A146="","",0.3)</f>
        <v/>
      </c>
      <c r="Q146" s="6">
        <f>IF(O146="","",O146*P146)</f>
        <v/>
      </c>
      <c r="R146" s="6">
        <f>IF(O146="","",IF(E146="Vara Cível",O146*0.15,0))</f>
        <v/>
      </c>
      <c r="S146" s="6">
        <f>IF(O146="","",Q146+R146)</f>
        <v/>
      </c>
      <c r="T146">
        <f>IF(G146="","",IF(G146&lt;EDATE(TODAY(),-120),"⚠ mais de 10 anos — cortar janela",""))</f>
        <v/>
      </c>
    </row>
    <row r="147">
      <c r="F147" s="6" t="n"/>
      <c r="G147" s="7" t="n"/>
      <c r="H147" s="7" t="n"/>
      <c r="I147">
        <f>IF(OR(G147="",H147=""),"",IF(G147&gt;DATE(2021,3,31),0,DATEDIF(G147,MIN(H147,DATE(2021,3,31)),"m")+1))</f>
        <v/>
      </c>
      <c r="J147">
        <f>IF(OR(G147="",H147=""),"",IF(H147&lt;DATE(2021,4,1),0,DATEDIF(MAX(G147,DATE(2021,4,1)),H147,"m")+1))</f>
        <v/>
      </c>
      <c r="K147" s="6">
        <f>IF(I147="","",I147*F147)</f>
        <v/>
      </c>
      <c r="L147" s="6">
        <f>IF(J147="","",J147*F147*2)</f>
        <v/>
      </c>
      <c r="M147" s="6" t="n"/>
      <c r="N147" s="6" t="n"/>
      <c r="O147" s="6">
        <f>IF(K147="","",MAX(0,K147+L147-N(M147))+N(N147))</f>
        <v/>
      </c>
      <c r="P147" s="8">
        <f>IF(A147="","",0.3)</f>
        <v/>
      </c>
      <c r="Q147" s="6">
        <f>IF(O147="","",O147*P147)</f>
        <v/>
      </c>
      <c r="R147" s="6">
        <f>IF(O147="","",IF(E147="Vara Cível",O147*0.15,0))</f>
        <v/>
      </c>
      <c r="S147" s="6">
        <f>IF(O147="","",Q147+R147)</f>
        <v/>
      </c>
      <c r="T147">
        <f>IF(G147="","",IF(G147&lt;EDATE(TODAY(),-120),"⚠ mais de 10 anos — cortar janela",""))</f>
        <v/>
      </c>
    </row>
    <row r="148">
      <c r="F148" s="6" t="n"/>
      <c r="G148" s="7" t="n"/>
      <c r="H148" s="7" t="n"/>
      <c r="I148">
        <f>IF(OR(G148="",H148=""),"",IF(G148&gt;DATE(2021,3,31),0,DATEDIF(G148,MIN(H148,DATE(2021,3,31)),"m")+1))</f>
        <v/>
      </c>
      <c r="J148">
        <f>IF(OR(G148="",H148=""),"",IF(H148&lt;DATE(2021,4,1),0,DATEDIF(MAX(G148,DATE(2021,4,1)),H148,"m")+1))</f>
        <v/>
      </c>
      <c r="K148" s="6">
        <f>IF(I148="","",I148*F148)</f>
        <v/>
      </c>
      <c r="L148" s="6">
        <f>IF(J148="","",J148*F148*2)</f>
        <v/>
      </c>
      <c r="M148" s="6" t="n"/>
      <c r="N148" s="6" t="n"/>
      <c r="O148" s="6">
        <f>IF(K148="","",MAX(0,K148+L148-N(M148))+N(N148))</f>
        <v/>
      </c>
      <c r="P148" s="8">
        <f>IF(A148="","",0.3)</f>
        <v/>
      </c>
      <c r="Q148" s="6">
        <f>IF(O148="","",O148*P148)</f>
        <v/>
      </c>
      <c r="R148" s="6">
        <f>IF(O148="","",IF(E148="Vara Cível",O148*0.15,0))</f>
        <v/>
      </c>
      <c r="S148" s="6">
        <f>IF(O148="","",Q148+R148)</f>
        <v/>
      </c>
      <c r="T148">
        <f>IF(G148="","",IF(G148&lt;EDATE(TODAY(),-120),"⚠ mais de 10 anos — cortar janela",""))</f>
        <v/>
      </c>
    </row>
    <row r="149">
      <c r="F149" s="6" t="n"/>
      <c r="G149" s="7" t="n"/>
      <c r="H149" s="7" t="n"/>
      <c r="I149">
        <f>IF(OR(G149="",H149=""),"",IF(G149&gt;DATE(2021,3,31),0,DATEDIF(G149,MIN(H149,DATE(2021,3,31)),"m")+1))</f>
        <v/>
      </c>
      <c r="J149">
        <f>IF(OR(G149="",H149=""),"",IF(H149&lt;DATE(2021,4,1),0,DATEDIF(MAX(G149,DATE(2021,4,1)),H149,"m")+1))</f>
        <v/>
      </c>
      <c r="K149" s="6">
        <f>IF(I149="","",I149*F149)</f>
        <v/>
      </c>
      <c r="L149" s="6">
        <f>IF(J149="","",J149*F149*2)</f>
        <v/>
      </c>
      <c r="M149" s="6" t="n"/>
      <c r="N149" s="6" t="n"/>
      <c r="O149" s="6">
        <f>IF(K149="","",MAX(0,K149+L149-N(M149))+N(N149))</f>
        <v/>
      </c>
      <c r="P149" s="8">
        <f>IF(A149="","",0.3)</f>
        <v/>
      </c>
      <c r="Q149" s="6">
        <f>IF(O149="","",O149*P149)</f>
        <v/>
      </c>
      <c r="R149" s="6">
        <f>IF(O149="","",IF(E149="Vara Cível",O149*0.15,0))</f>
        <v/>
      </c>
      <c r="S149" s="6">
        <f>IF(O149="","",Q149+R149)</f>
        <v/>
      </c>
      <c r="T149">
        <f>IF(G149="","",IF(G149&lt;EDATE(TODAY(),-120),"⚠ mais de 10 anos — cortar janela",""))</f>
        <v/>
      </c>
    </row>
    <row r="150">
      <c r="F150" s="6" t="n"/>
      <c r="G150" s="7" t="n"/>
      <c r="H150" s="7" t="n"/>
      <c r="I150">
        <f>IF(OR(G150="",H150=""),"",IF(G150&gt;DATE(2021,3,31),0,DATEDIF(G150,MIN(H150,DATE(2021,3,31)),"m")+1))</f>
        <v/>
      </c>
      <c r="J150">
        <f>IF(OR(G150="",H150=""),"",IF(H150&lt;DATE(2021,4,1),0,DATEDIF(MAX(G150,DATE(2021,4,1)),H150,"m")+1))</f>
        <v/>
      </c>
      <c r="K150" s="6">
        <f>IF(I150="","",I150*F150)</f>
        <v/>
      </c>
      <c r="L150" s="6">
        <f>IF(J150="","",J150*F150*2)</f>
        <v/>
      </c>
      <c r="M150" s="6" t="n"/>
      <c r="N150" s="6" t="n"/>
      <c r="O150" s="6">
        <f>IF(K150="","",MAX(0,K150+L150-N(M150))+N(N150))</f>
        <v/>
      </c>
      <c r="P150" s="8">
        <f>IF(A150="","",0.3)</f>
        <v/>
      </c>
      <c r="Q150" s="6">
        <f>IF(O150="","",O150*P150)</f>
        <v/>
      </c>
      <c r="R150" s="6">
        <f>IF(O150="","",IF(E150="Vara Cível",O150*0.15,0))</f>
        <v/>
      </c>
      <c r="S150" s="6">
        <f>IF(O150="","",Q150+R150)</f>
        <v/>
      </c>
      <c r="T150">
        <f>IF(G150="","",IF(G150&lt;EDATE(TODAY(),-120),"⚠ mais de 10 anos — cortar janela",""))</f>
        <v/>
      </c>
    </row>
    <row r="151">
      <c r="F151" s="6" t="n"/>
      <c r="G151" s="7" t="n"/>
      <c r="H151" s="7" t="n"/>
      <c r="I151">
        <f>IF(OR(G151="",H151=""),"",IF(G151&gt;DATE(2021,3,31),0,DATEDIF(G151,MIN(H151,DATE(2021,3,31)),"m")+1))</f>
        <v/>
      </c>
      <c r="J151">
        <f>IF(OR(G151="",H151=""),"",IF(H151&lt;DATE(2021,4,1),0,DATEDIF(MAX(G151,DATE(2021,4,1)),H151,"m")+1))</f>
        <v/>
      </c>
      <c r="K151" s="6">
        <f>IF(I151="","",I151*F151)</f>
        <v/>
      </c>
      <c r="L151" s="6">
        <f>IF(J151="","",J151*F151*2)</f>
        <v/>
      </c>
      <c r="M151" s="6" t="n"/>
      <c r="N151" s="6" t="n"/>
      <c r="O151" s="6">
        <f>IF(K151="","",MAX(0,K151+L151-N(M151))+N(N151))</f>
        <v/>
      </c>
      <c r="P151" s="8">
        <f>IF(A151="","",0.3)</f>
        <v/>
      </c>
      <c r="Q151" s="6">
        <f>IF(O151="","",O151*P151)</f>
        <v/>
      </c>
      <c r="R151" s="6">
        <f>IF(O151="","",IF(E151="Vara Cível",O151*0.15,0))</f>
        <v/>
      </c>
      <c r="S151" s="6">
        <f>IF(O151="","",Q151+R151)</f>
        <v/>
      </c>
      <c r="T151">
        <f>IF(G151="","",IF(G151&lt;EDATE(TODAY(),-120),"⚠ mais de 10 anos — cortar janela",""))</f>
        <v/>
      </c>
    </row>
    <row r="152">
      <c r="F152" s="6" t="n"/>
      <c r="G152" s="7" t="n"/>
      <c r="H152" s="7" t="n"/>
      <c r="I152">
        <f>IF(OR(G152="",H152=""),"",IF(G152&gt;DATE(2021,3,31),0,DATEDIF(G152,MIN(H152,DATE(2021,3,31)),"m")+1))</f>
        <v/>
      </c>
      <c r="J152">
        <f>IF(OR(G152="",H152=""),"",IF(H152&lt;DATE(2021,4,1),0,DATEDIF(MAX(G152,DATE(2021,4,1)),H152,"m")+1))</f>
        <v/>
      </c>
      <c r="K152" s="6">
        <f>IF(I152="","",I152*F152)</f>
        <v/>
      </c>
      <c r="L152" s="6">
        <f>IF(J152="","",J152*F152*2)</f>
        <v/>
      </c>
      <c r="M152" s="6" t="n"/>
      <c r="N152" s="6" t="n"/>
      <c r="O152" s="6">
        <f>IF(K152="","",MAX(0,K152+L152-N(M152))+N(N152))</f>
        <v/>
      </c>
      <c r="P152" s="8">
        <f>IF(A152="","",0.3)</f>
        <v/>
      </c>
      <c r="Q152" s="6">
        <f>IF(O152="","",O152*P152)</f>
        <v/>
      </c>
      <c r="R152" s="6">
        <f>IF(O152="","",IF(E152="Vara Cível",O152*0.15,0))</f>
        <v/>
      </c>
      <c r="S152" s="6">
        <f>IF(O152="","",Q152+R152)</f>
        <v/>
      </c>
      <c r="T152">
        <f>IF(G152="","",IF(G152&lt;EDATE(TODAY(),-120),"⚠ mais de 10 anos — cortar janela",""))</f>
        <v/>
      </c>
    </row>
    <row r="153">
      <c r="F153" s="6" t="n"/>
      <c r="G153" s="7" t="n"/>
      <c r="H153" s="7" t="n"/>
      <c r="I153">
        <f>IF(OR(G153="",H153=""),"",IF(G153&gt;DATE(2021,3,31),0,DATEDIF(G153,MIN(H153,DATE(2021,3,31)),"m")+1))</f>
        <v/>
      </c>
      <c r="J153">
        <f>IF(OR(G153="",H153=""),"",IF(H153&lt;DATE(2021,4,1),0,DATEDIF(MAX(G153,DATE(2021,4,1)),H153,"m")+1))</f>
        <v/>
      </c>
      <c r="K153" s="6">
        <f>IF(I153="","",I153*F153)</f>
        <v/>
      </c>
      <c r="L153" s="6">
        <f>IF(J153="","",J153*F153*2)</f>
        <v/>
      </c>
      <c r="M153" s="6" t="n"/>
      <c r="N153" s="6" t="n"/>
      <c r="O153" s="6">
        <f>IF(K153="","",MAX(0,K153+L153-N(M153))+N(N153))</f>
        <v/>
      </c>
      <c r="P153" s="8">
        <f>IF(A153="","",0.3)</f>
        <v/>
      </c>
      <c r="Q153" s="6">
        <f>IF(O153="","",O153*P153)</f>
        <v/>
      </c>
      <c r="R153" s="6">
        <f>IF(O153="","",IF(E153="Vara Cível",O153*0.15,0))</f>
        <v/>
      </c>
      <c r="S153" s="6">
        <f>IF(O153="","",Q153+R153)</f>
        <v/>
      </c>
      <c r="T153">
        <f>IF(G153="","",IF(G153&lt;EDATE(TODAY(),-120),"⚠ mais de 10 anos — cortar janela",""))</f>
        <v/>
      </c>
    </row>
    <row r="154">
      <c r="F154" s="6" t="n"/>
      <c r="G154" s="7" t="n"/>
      <c r="H154" s="7" t="n"/>
      <c r="I154">
        <f>IF(OR(G154="",H154=""),"",IF(G154&gt;DATE(2021,3,31),0,DATEDIF(G154,MIN(H154,DATE(2021,3,31)),"m")+1))</f>
        <v/>
      </c>
      <c r="J154">
        <f>IF(OR(G154="",H154=""),"",IF(H154&lt;DATE(2021,4,1),0,DATEDIF(MAX(G154,DATE(2021,4,1)),H154,"m")+1))</f>
        <v/>
      </c>
      <c r="K154" s="6">
        <f>IF(I154="","",I154*F154)</f>
        <v/>
      </c>
      <c r="L154" s="6">
        <f>IF(J154="","",J154*F154*2)</f>
        <v/>
      </c>
      <c r="M154" s="6" t="n"/>
      <c r="N154" s="6" t="n"/>
      <c r="O154" s="6">
        <f>IF(K154="","",MAX(0,K154+L154-N(M154))+N(N154))</f>
        <v/>
      </c>
      <c r="P154" s="8">
        <f>IF(A154="","",0.3)</f>
        <v/>
      </c>
      <c r="Q154" s="6">
        <f>IF(O154="","",O154*P154)</f>
        <v/>
      </c>
      <c r="R154" s="6">
        <f>IF(O154="","",IF(E154="Vara Cível",O154*0.15,0))</f>
        <v/>
      </c>
      <c r="S154" s="6">
        <f>IF(O154="","",Q154+R154)</f>
        <v/>
      </c>
      <c r="T154">
        <f>IF(G154="","",IF(G154&lt;EDATE(TODAY(),-120),"⚠ mais de 10 anos — cortar janela",""))</f>
        <v/>
      </c>
    </row>
    <row r="155">
      <c r="F155" s="6" t="n"/>
      <c r="G155" s="7" t="n"/>
      <c r="H155" s="7" t="n"/>
      <c r="I155">
        <f>IF(OR(G155="",H155=""),"",IF(G155&gt;DATE(2021,3,31),0,DATEDIF(G155,MIN(H155,DATE(2021,3,31)),"m")+1))</f>
        <v/>
      </c>
      <c r="J155">
        <f>IF(OR(G155="",H155=""),"",IF(H155&lt;DATE(2021,4,1),0,DATEDIF(MAX(G155,DATE(2021,4,1)),H155,"m")+1))</f>
        <v/>
      </c>
      <c r="K155" s="6">
        <f>IF(I155="","",I155*F155)</f>
        <v/>
      </c>
      <c r="L155" s="6">
        <f>IF(J155="","",J155*F155*2)</f>
        <v/>
      </c>
      <c r="M155" s="6" t="n"/>
      <c r="N155" s="6" t="n"/>
      <c r="O155" s="6">
        <f>IF(K155="","",MAX(0,K155+L155-N(M155))+N(N155))</f>
        <v/>
      </c>
      <c r="P155" s="8">
        <f>IF(A155="","",0.3)</f>
        <v/>
      </c>
      <c r="Q155" s="6">
        <f>IF(O155="","",O155*P155)</f>
        <v/>
      </c>
      <c r="R155" s="6">
        <f>IF(O155="","",IF(E155="Vara Cível",O155*0.15,0))</f>
        <v/>
      </c>
      <c r="S155" s="6">
        <f>IF(O155="","",Q155+R155)</f>
        <v/>
      </c>
      <c r="T155">
        <f>IF(G155="","",IF(G155&lt;EDATE(TODAY(),-120),"⚠ mais de 10 anos — cortar janela",""))</f>
        <v/>
      </c>
    </row>
    <row r="156">
      <c r="F156" s="6" t="n"/>
      <c r="G156" s="7" t="n"/>
      <c r="H156" s="7" t="n"/>
      <c r="I156">
        <f>IF(OR(G156="",H156=""),"",IF(G156&gt;DATE(2021,3,31),0,DATEDIF(G156,MIN(H156,DATE(2021,3,31)),"m")+1))</f>
        <v/>
      </c>
      <c r="J156">
        <f>IF(OR(G156="",H156=""),"",IF(H156&lt;DATE(2021,4,1),0,DATEDIF(MAX(G156,DATE(2021,4,1)),H156,"m")+1))</f>
        <v/>
      </c>
      <c r="K156" s="6">
        <f>IF(I156="","",I156*F156)</f>
        <v/>
      </c>
      <c r="L156" s="6">
        <f>IF(J156="","",J156*F156*2)</f>
        <v/>
      </c>
      <c r="M156" s="6" t="n"/>
      <c r="N156" s="6" t="n"/>
      <c r="O156" s="6">
        <f>IF(K156="","",MAX(0,K156+L156-N(M156))+N(N156))</f>
        <v/>
      </c>
      <c r="P156" s="8">
        <f>IF(A156="","",0.3)</f>
        <v/>
      </c>
      <c r="Q156" s="6">
        <f>IF(O156="","",O156*P156)</f>
        <v/>
      </c>
      <c r="R156" s="6">
        <f>IF(O156="","",IF(E156="Vara Cível",O156*0.15,0))</f>
        <v/>
      </c>
      <c r="S156" s="6">
        <f>IF(O156="","",Q156+R156)</f>
        <v/>
      </c>
      <c r="T156">
        <f>IF(G156="","",IF(G156&lt;EDATE(TODAY(),-120),"⚠ mais de 10 anos — cortar janela",""))</f>
        <v/>
      </c>
    </row>
    <row r="157">
      <c r="F157" s="6" t="n"/>
      <c r="G157" s="7" t="n"/>
      <c r="H157" s="7" t="n"/>
      <c r="I157">
        <f>IF(OR(G157="",H157=""),"",IF(G157&gt;DATE(2021,3,31),0,DATEDIF(G157,MIN(H157,DATE(2021,3,31)),"m")+1))</f>
        <v/>
      </c>
      <c r="J157">
        <f>IF(OR(G157="",H157=""),"",IF(H157&lt;DATE(2021,4,1),0,DATEDIF(MAX(G157,DATE(2021,4,1)),H157,"m")+1))</f>
        <v/>
      </c>
      <c r="K157" s="6">
        <f>IF(I157="","",I157*F157)</f>
        <v/>
      </c>
      <c r="L157" s="6">
        <f>IF(J157="","",J157*F157*2)</f>
        <v/>
      </c>
      <c r="M157" s="6" t="n"/>
      <c r="N157" s="6" t="n"/>
      <c r="O157" s="6">
        <f>IF(K157="","",MAX(0,K157+L157-N(M157))+N(N157))</f>
        <v/>
      </c>
      <c r="P157" s="8">
        <f>IF(A157="","",0.3)</f>
        <v/>
      </c>
      <c r="Q157" s="6">
        <f>IF(O157="","",O157*P157)</f>
        <v/>
      </c>
      <c r="R157" s="6">
        <f>IF(O157="","",IF(E157="Vara Cível",O157*0.15,0))</f>
        <v/>
      </c>
      <c r="S157" s="6">
        <f>IF(O157="","",Q157+R157)</f>
        <v/>
      </c>
      <c r="T157">
        <f>IF(G157="","",IF(G157&lt;EDATE(TODAY(),-120),"⚠ mais de 10 anos — cortar janela",""))</f>
        <v/>
      </c>
    </row>
    <row r="158">
      <c r="F158" s="6" t="n"/>
      <c r="G158" s="7" t="n"/>
      <c r="H158" s="7" t="n"/>
      <c r="I158">
        <f>IF(OR(G158="",H158=""),"",IF(G158&gt;DATE(2021,3,31),0,DATEDIF(G158,MIN(H158,DATE(2021,3,31)),"m")+1))</f>
        <v/>
      </c>
      <c r="J158">
        <f>IF(OR(G158="",H158=""),"",IF(H158&lt;DATE(2021,4,1),0,DATEDIF(MAX(G158,DATE(2021,4,1)),H158,"m")+1))</f>
        <v/>
      </c>
      <c r="K158" s="6">
        <f>IF(I158="","",I158*F158)</f>
        <v/>
      </c>
      <c r="L158" s="6">
        <f>IF(J158="","",J158*F158*2)</f>
        <v/>
      </c>
      <c r="M158" s="6" t="n"/>
      <c r="N158" s="6" t="n"/>
      <c r="O158" s="6">
        <f>IF(K158="","",MAX(0,K158+L158-N(M158))+N(N158))</f>
        <v/>
      </c>
      <c r="P158" s="8">
        <f>IF(A158="","",0.3)</f>
        <v/>
      </c>
      <c r="Q158" s="6">
        <f>IF(O158="","",O158*P158)</f>
        <v/>
      </c>
      <c r="R158" s="6">
        <f>IF(O158="","",IF(E158="Vara Cível",O158*0.15,0))</f>
        <v/>
      </c>
      <c r="S158" s="6">
        <f>IF(O158="","",Q158+R158)</f>
        <v/>
      </c>
      <c r="T158">
        <f>IF(G158="","",IF(G158&lt;EDATE(TODAY(),-120),"⚠ mais de 10 anos — cortar janela",""))</f>
        <v/>
      </c>
    </row>
    <row r="159">
      <c r="F159" s="6" t="n"/>
      <c r="G159" s="7" t="n"/>
      <c r="H159" s="7" t="n"/>
      <c r="I159">
        <f>IF(OR(G159="",H159=""),"",IF(G159&gt;DATE(2021,3,31),0,DATEDIF(G159,MIN(H159,DATE(2021,3,31)),"m")+1))</f>
        <v/>
      </c>
      <c r="J159">
        <f>IF(OR(G159="",H159=""),"",IF(H159&lt;DATE(2021,4,1),0,DATEDIF(MAX(G159,DATE(2021,4,1)),H159,"m")+1))</f>
        <v/>
      </c>
      <c r="K159" s="6">
        <f>IF(I159="","",I159*F159)</f>
        <v/>
      </c>
      <c r="L159" s="6">
        <f>IF(J159="","",J159*F159*2)</f>
        <v/>
      </c>
      <c r="M159" s="6" t="n"/>
      <c r="N159" s="6" t="n"/>
      <c r="O159" s="6">
        <f>IF(K159="","",MAX(0,K159+L159-N(M159))+N(N159))</f>
        <v/>
      </c>
      <c r="P159" s="8">
        <f>IF(A159="","",0.3)</f>
        <v/>
      </c>
      <c r="Q159" s="6">
        <f>IF(O159="","",O159*P159)</f>
        <v/>
      </c>
      <c r="R159" s="6">
        <f>IF(O159="","",IF(E159="Vara Cível",O159*0.15,0))</f>
        <v/>
      </c>
      <c r="S159" s="6">
        <f>IF(O159="","",Q159+R159)</f>
        <v/>
      </c>
      <c r="T159">
        <f>IF(G159="","",IF(G159&lt;EDATE(TODAY(),-120),"⚠ mais de 10 anos — cortar janela",""))</f>
        <v/>
      </c>
    </row>
    <row r="160">
      <c r="F160" s="6" t="n"/>
      <c r="G160" s="7" t="n"/>
      <c r="H160" s="7" t="n"/>
      <c r="I160">
        <f>IF(OR(G160="",H160=""),"",IF(G160&gt;DATE(2021,3,31),0,DATEDIF(G160,MIN(H160,DATE(2021,3,31)),"m")+1))</f>
        <v/>
      </c>
      <c r="J160">
        <f>IF(OR(G160="",H160=""),"",IF(H160&lt;DATE(2021,4,1),0,DATEDIF(MAX(G160,DATE(2021,4,1)),H160,"m")+1))</f>
        <v/>
      </c>
      <c r="K160" s="6">
        <f>IF(I160="","",I160*F160)</f>
        <v/>
      </c>
      <c r="L160" s="6">
        <f>IF(J160="","",J160*F160*2)</f>
        <v/>
      </c>
      <c r="M160" s="6" t="n"/>
      <c r="N160" s="6" t="n"/>
      <c r="O160" s="6">
        <f>IF(K160="","",MAX(0,K160+L160-N(M160))+N(N160))</f>
        <v/>
      </c>
      <c r="P160" s="8">
        <f>IF(A160="","",0.3)</f>
        <v/>
      </c>
      <c r="Q160" s="6">
        <f>IF(O160="","",O160*P160)</f>
        <v/>
      </c>
      <c r="R160" s="6">
        <f>IF(O160="","",IF(E160="Vara Cível",O160*0.15,0))</f>
        <v/>
      </c>
      <c r="S160" s="6">
        <f>IF(O160="","",Q160+R160)</f>
        <v/>
      </c>
      <c r="T160">
        <f>IF(G160="","",IF(G160&lt;EDATE(TODAY(),-120),"⚠ mais de 10 anos — cortar janela",""))</f>
        <v/>
      </c>
    </row>
    <row r="161">
      <c r="F161" s="6" t="n"/>
      <c r="G161" s="7" t="n"/>
      <c r="H161" s="7" t="n"/>
      <c r="I161">
        <f>IF(OR(G161="",H161=""),"",IF(G161&gt;DATE(2021,3,31),0,DATEDIF(G161,MIN(H161,DATE(2021,3,31)),"m")+1))</f>
        <v/>
      </c>
      <c r="J161">
        <f>IF(OR(G161="",H161=""),"",IF(H161&lt;DATE(2021,4,1),0,DATEDIF(MAX(G161,DATE(2021,4,1)),H161,"m")+1))</f>
        <v/>
      </c>
      <c r="K161" s="6">
        <f>IF(I161="","",I161*F161)</f>
        <v/>
      </c>
      <c r="L161" s="6">
        <f>IF(J161="","",J161*F161*2)</f>
        <v/>
      </c>
      <c r="M161" s="6" t="n"/>
      <c r="N161" s="6" t="n"/>
      <c r="O161" s="6">
        <f>IF(K161="","",MAX(0,K161+L161-N(M161))+N(N161))</f>
        <v/>
      </c>
      <c r="P161" s="8">
        <f>IF(A161="","",0.3)</f>
        <v/>
      </c>
      <c r="Q161" s="6">
        <f>IF(O161="","",O161*P161)</f>
        <v/>
      </c>
      <c r="R161" s="6">
        <f>IF(O161="","",IF(E161="Vara Cível",O161*0.15,0))</f>
        <v/>
      </c>
      <c r="S161" s="6">
        <f>IF(O161="","",Q161+R161)</f>
        <v/>
      </c>
      <c r="T161">
        <f>IF(G161="","",IF(G161&lt;EDATE(TODAY(),-120),"⚠ mais de 10 anos — cortar janela",""))</f>
        <v/>
      </c>
    </row>
    <row r="162">
      <c r="F162" s="6" t="n"/>
      <c r="G162" s="7" t="n"/>
      <c r="H162" s="7" t="n"/>
      <c r="I162">
        <f>IF(OR(G162="",H162=""),"",IF(G162&gt;DATE(2021,3,31),0,DATEDIF(G162,MIN(H162,DATE(2021,3,31)),"m")+1))</f>
        <v/>
      </c>
      <c r="J162">
        <f>IF(OR(G162="",H162=""),"",IF(H162&lt;DATE(2021,4,1),0,DATEDIF(MAX(G162,DATE(2021,4,1)),H162,"m")+1))</f>
        <v/>
      </c>
      <c r="K162" s="6">
        <f>IF(I162="","",I162*F162)</f>
        <v/>
      </c>
      <c r="L162" s="6">
        <f>IF(J162="","",J162*F162*2)</f>
        <v/>
      </c>
      <c r="M162" s="6" t="n"/>
      <c r="N162" s="6" t="n"/>
      <c r="O162" s="6">
        <f>IF(K162="","",MAX(0,K162+L162-N(M162))+N(N162))</f>
        <v/>
      </c>
      <c r="P162" s="8">
        <f>IF(A162="","",0.3)</f>
        <v/>
      </c>
      <c r="Q162" s="6">
        <f>IF(O162="","",O162*P162)</f>
        <v/>
      </c>
      <c r="R162" s="6">
        <f>IF(O162="","",IF(E162="Vara Cível",O162*0.15,0))</f>
        <v/>
      </c>
      <c r="S162" s="6">
        <f>IF(O162="","",Q162+R162)</f>
        <v/>
      </c>
      <c r="T162">
        <f>IF(G162="","",IF(G162&lt;EDATE(TODAY(),-120),"⚠ mais de 10 anos — cortar janela",""))</f>
        <v/>
      </c>
    </row>
    <row r="163">
      <c r="F163" s="6" t="n"/>
      <c r="G163" s="7" t="n"/>
      <c r="H163" s="7" t="n"/>
      <c r="I163">
        <f>IF(OR(G163="",H163=""),"",IF(G163&gt;DATE(2021,3,31),0,DATEDIF(G163,MIN(H163,DATE(2021,3,31)),"m")+1))</f>
        <v/>
      </c>
      <c r="J163">
        <f>IF(OR(G163="",H163=""),"",IF(H163&lt;DATE(2021,4,1),0,DATEDIF(MAX(G163,DATE(2021,4,1)),H163,"m")+1))</f>
        <v/>
      </c>
      <c r="K163" s="6">
        <f>IF(I163="","",I163*F163)</f>
        <v/>
      </c>
      <c r="L163" s="6">
        <f>IF(J163="","",J163*F163*2)</f>
        <v/>
      </c>
      <c r="M163" s="6" t="n"/>
      <c r="N163" s="6" t="n"/>
      <c r="O163" s="6">
        <f>IF(K163="","",MAX(0,K163+L163-N(M163))+N(N163))</f>
        <v/>
      </c>
      <c r="P163" s="8">
        <f>IF(A163="","",0.3)</f>
        <v/>
      </c>
      <c r="Q163" s="6">
        <f>IF(O163="","",O163*P163)</f>
        <v/>
      </c>
      <c r="R163" s="6">
        <f>IF(O163="","",IF(E163="Vara Cível",O163*0.15,0))</f>
        <v/>
      </c>
      <c r="S163" s="6">
        <f>IF(O163="","",Q163+R163)</f>
        <v/>
      </c>
      <c r="T163">
        <f>IF(G163="","",IF(G163&lt;EDATE(TODAY(),-120),"⚠ mais de 10 anos — cortar janela",""))</f>
        <v/>
      </c>
    </row>
    <row r="164">
      <c r="F164" s="6" t="n"/>
      <c r="G164" s="7" t="n"/>
      <c r="H164" s="7" t="n"/>
      <c r="I164">
        <f>IF(OR(G164="",H164=""),"",IF(G164&gt;DATE(2021,3,31),0,DATEDIF(G164,MIN(H164,DATE(2021,3,31)),"m")+1))</f>
        <v/>
      </c>
      <c r="J164">
        <f>IF(OR(G164="",H164=""),"",IF(H164&lt;DATE(2021,4,1),0,DATEDIF(MAX(G164,DATE(2021,4,1)),H164,"m")+1))</f>
        <v/>
      </c>
      <c r="K164" s="6">
        <f>IF(I164="","",I164*F164)</f>
        <v/>
      </c>
      <c r="L164" s="6">
        <f>IF(J164="","",J164*F164*2)</f>
        <v/>
      </c>
      <c r="M164" s="6" t="n"/>
      <c r="N164" s="6" t="n"/>
      <c r="O164" s="6">
        <f>IF(K164="","",MAX(0,K164+L164-N(M164))+N(N164))</f>
        <v/>
      </c>
      <c r="P164" s="8">
        <f>IF(A164="","",0.3)</f>
        <v/>
      </c>
      <c r="Q164" s="6">
        <f>IF(O164="","",O164*P164)</f>
        <v/>
      </c>
      <c r="R164" s="6">
        <f>IF(O164="","",IF(E164="Vara Cível",O164*0.15,0))</f>
        <v/>
      </c>
      <c r="S164" s="6">
        <f>IF(O164="","",Q164+R164)</f>
        <v/>
      </c>
      <c r="T164">
        <f>IF(G164="","",IF(G164&lt;EDATE(TODAY(),-120),"⚠ mais de 10 anos — cortar janela",""))</f>
        <v/>
      </c>
    </row>
    <row r="165">
      <c r="F165" s="6" t="n"/>
      <c r="G165" s="7" t="n"/>
      <c r="H165" s="7" t="n"/>
      <c r="I165">
        <f>IF(OR(G165="",H165=""),"",IF(G165&gt;DATE(2021,3,31),0,DATEDIF(G165,MIN(H165,DATE(2021,3,31)),"m")+1))</f>
        <v/>
      </c>
      <c r="J165">
        <f>IF(OR(G165="",H165=""),"",IF(H165&lt;DATE(2021,4,1),0,DATEDIF(MAX(G165,DATE(2021,4,1)),H165,"m")+1))</f>
        <v/>
      </c>
      <c r="K165" s="6">
        <f>IF(I165="","",I165*F165)</f>
        <v/>
      </c>
      <c r="L165" s="6">
        <f>IF(J165="","",J165*F165*2)</f>
        <v/>
      </c>
      <c r="M165" s="6" t="n"/>
      <c r="N165" s="6" t="n"/>
      <c r="O165" s="6">
        <f>IF(K165="","",MAX(0,K165+L165-N(M165))+N(N165))</f>
        <v/>
      </c>
      <c r="P165" s="8">
        <f>IF(A165="","",0.3)</f>
        <v/>
      </c>
      <c r="Q165" s="6">
        <f>IF(O165="","",O165*P165)</f>
        <v/>
      </c>
      <c r="R165" s="6">
        <f>IF(O165="","",IF(E165="Vara Cível",O165*0.15,0))</f>
        <v/>
      </c>
      <c r="S165" s="6">
        <f>IF(O165="","",Q165+R165)</f>
        <v/>
      </c>
      <c r="T165">
        <f>IF(G165="","",IF(G165&lt;EDATE(TODAY(),-120),"⚠ mais de 10 anos — cortar janela",""))</f>
        <v/>
      </c>
    </row>
    <row r="166">
      <c r="F166" s="6" t="n"/>
      <c r="G166" s="7" t="n"/>
      <c r="H166" s="7" t="n"/>
      <c r="I166">
        <f>IF(OR(G166="",H166=""),"",IF(G166&gt;DATE(2021,3,31),0,DATEDIF(G166,MIN(H166,DATE(2021,3,31)),"m")+1))</f>
        <v/>
      </c>
      <c r="J166">
        <f>IF(OR(G166="",H166=""),"",IF(H166&lt;DATE(2021,4,1),0,DATEDIF(MAX(G166,DATE(2021,4,1)),H166,"m")+1))</f>
        <v/>
      </c>
      <c r="K166" s="6">
        <f>IF(I166="","",I166*F166)</f>
        <v/>
      </c>
      <c r="L166" s="6">
        <f>IF(J166="","",J166*F166*2)</f>
        <v/>
      </c>
      <c r="M166" s="6" t="n"/>
      <c r="N166" s="6" t="n"/>
      <c r="O166" s="6">
        <f>IF(K166="","",MAX(0,K166+L166-N(M166))+N(N166))</f>
        <v/>
      </c>
      <c r="P166" s="8">
        <f>IF(A166="","",0.3)</f>
        <v/>
      </c>
      <c r="Q166" s="6">
        <f>IF(O166="","",O166*P166)</f>
        <v/>
      </c>
      <c r="R166" s="6">
        <f>IF(O166="","",IF(E166="Vara Cível",O166*0.15,0))</f>
        <v/>
      </c>
      <c r="S166" s="6">
        <f>IF(O166="","",Q166+R166)</f>
        <v/>
      </c>
      <c r="T166">
        <f>IF(G166="","",IF(G166&lt;EDATE(TODAY(),-120),"⚠ mais de 10 anos — cortar janela",""))</f>
        <v/>
      </c>
    </row>
    <row r="167">
      <c r="F167" s="6" t="n"/>
      <c r="G167" s="7" t="n"/>
      <c r="H167" s="7" t="n"/>
      <c r="I167">
        <f>IF(OR(G167="",H167=""),"",IF(G167&gt;DATE(2021,3,31),0,DATEDIF(G167,MIN(H167,DATE(2021,3,31)),"m")+1))</f>
        <v/>
      </c>
      <c r="J167">
        <f>IF(OR(G167="",H167=""),"",IF(H167&lt;DATE(2021,4,1),0,DATEDIF(MAX(G167,DATE(2021,4,1)),H167,"m")+1))</f>
        <v/>
      </c>
      <c r="K167" s="6">
        <f>IF(I167="","",I167*F167)</f>
        <v/>
      </c>
      <c r="L167" s="6">
        <f>IF(J167="","",J167*F167*2)</f>
        <v/>
      </c>
      <c r="M167" s="6" t="n"/>
      <c r="N167" s="6" t="n"/>
      <c r="O167" s="6">
        <f>IF(K167="","",MAX(0,K167+L167-N(M167))+N(N167))</f>
        <v/>
      </c>
      <c r="P167" s="8">
        <f>IF(A167="","",0.3)</f>
        <v/>
      </c>
      <c r="Q167" s="6">
        <f>IF(O167="","",O167*P167)</f>
        <v/>
      </c>
      <c r="R167" s="6">
        <f>IF(O167="","",IF(E167="Vara Cível",O167*0.15,0))</f>
        <v/>
      </c>
      <c r="S167" s="6">
        <f>IF(O167="","",Q167+R167)</f>
        <v/>
      </c>
      <c r="T167">
        <f>IF(G167="","",IF(G167&lt;EDATE(TODAY(),-120),"⚠ mais de 10 anos — cortar janela",""))</f>
        <v/>
      </c>
    </row>
    <row r="168">
      <c r="F168" s="6" t="n"/>
      <c r="G168" s="7" t="n"/>
      <c r="H168" s="7" t="n"/>
      <c r="I168">
        <f>IF(OR(G168="",H168=""),"",IF(G168&gt;DATE(2021,3,31),0,DATEDIF(G168,MIN(H168,DATE(2021,3,31)),"m")+1))</f>
        <v/>
      </c>
      <c r="J168">
        <f>IF(OR(G168="",H168=""),"",IF(H168&lt;DATE(2021,4,1),0,DATEDIF(MAX(G168,DATE(2021,4,1)),H168,"m")+1))</f>
        <v/>
      </c>
      <c r="K168" s="6">
        <f>IF(I168="","",I168*F168)</f>
        <v/>
      </c>
      <c r="L168" s="6">
        <f>IF(J168="","",J168*F168*2)</f>
        <v/>
      </c>
      <c r="M168" s="6" t="n"/>
      <c r="N168" s="6" t="n"/>
      <c r="O168" s="6">
        <f>IF(K168="","",MAX(0,K168+L168-N(M168))+N(N168))</f>
        <v/>
      </c>
      <c r="P168" s="8">
        <f>IF(A168="","",0.3)</f>
        <v/>
      </c>
      <c r="Q168" s="6">
        <f>IF(O168="","",O168*P168)</f>
        <v/>
      </c>
      <c r="R168" s="6">
        <f>IF(O168="","",IF(E168="Vara Cível",O168*0.15,0))</f>
        <v/>
      </c>
      <c r="S168" s="6">
        <f>IF(O168="","",Q168+R168)</f>
        <v/>
      </c>
      <c r="T168">
        <f>IF(G168="","",IF(G168&lt;EDATE(TODAY(),-120),"⚠ mais de 10 anos — cortar janela",""))</f>
        <v/>
      </c>
    </row>
    <row r="169">
      <c r="F169" s="6" t="n"/>
      <c r="G169" s="7" t="n"/>
      <c r="H169" s="7" t="n"/>
      <c r="I169">
        <f>IF(OR(G169="",H169=""),"",IF(G169&gt;DATE(2021,3,31),0,DATEDIF(G169,MIN(H169,DATE(2021,3,31)),"m")+1))</f>
        <v/>
      </c>
      <c r="J169">
        <f>IF(OR(G169="",H169=""),"",IF(H169&lt;DATE(2021,4,1),0,DATEDIF(MAX(G169,DATE(2021,4,1)),H169,"m")+1))</f>
        <v/>
      </c>
      <c r="K169" s="6">
        <f>IF(I169="","",I169*F169)</f>
        <v/>
      </c>
      <c r="L169" s="6">
        <f>IF(J169="","",J169*F169*2)</f>
        <v/>
      </c>
      <c r="M169" s="6" t="n"/>
      <c r="N169" s="6" t="n"/>
      <c r="O169" s="6">
        <f>IF(K169="","",MAX(0,K169+L169-N(M169))+N(N169))</f>
        <v/>
      </c>
      <c r="P169" s="8">
        <f>IF(A169="","",0.3)</f>
        <v/>
      </c>
      <c r="Q169" s="6">
        <f>IF(O169="","",O169*P169)</f>
        <v/>
      </c>
      <c r="R169" s="6">
        <f>IF(O169="","",IF(E169="Vara Cível",O169*0.15,0))</f>
        <v/>
      </c>
      <c r="S169" s="6">
        <f>IF(O169="","",Q169+R169)</f>
        <v/>
      </c>
      <c r="T169">
        <f>IF(G169="","",IF(G169&lt;EDATE(TODAY(),-120),"⚠ mais de 10 anos — cortar janela",""))</f>
        <v/>
      </c>
    </row>
    <row r="170">
      <c r="F170" s="6" t="n"/>
      <c r="G170" s="7" t="n"/>
      <c r="H170" s="7" t="n"/>
      <c r="I170">
        <f>IF(OR(G170="",H170=""),"",IF(G170&gt;DATE(2021,3,31),0,DATEDIF(G170,MIN(H170,DATE(2021,3,31)),"m")+1))</f>
        <v/>
      </c>
      <c r="J170">
        <f>IF(OR(G170="",H170=""),"",IF(H170&lt;DATE(2021,4,1),0,DATEDIF(MAX(G170,DATE(2021,4,1)),H170,"m")+1))</f>
        <v/>
      </c>
      <c r="K170" s="6">
        <f>IF(I170="","",I170*F170)</f>
        <v/>
      </c>
      <c r="L170" s="6">
        <f>IF(J170="","",J170*F170*2)</f>
        <v/>
      </c>
      <c r="M170" s="6" t="n"/>
      <c r="N170" s="6" t="n"/>
      <c r="O170" s="6">
        <f>IF(K170="","",MAX(0,K170+L170-N(M170))+N(N170))</f>
        <v/>
      </c>
      <c r="P170" s="8">
        <f>IF(A170="","",0.3)</f>
        <v/>
      </c>
      <c r="Q170" s="6">
        <f>IF(O170="","",O170*P170)</f>
        <v/>
      </c>
      <c r="R170" s="6">
        <f>IF(O170="","",IF(E170="Vara Cível",O170*0.15,0))</f>
        <v/>
      </c>
      <c r="S170" s="6">
        <f>IF(O170="","",Q170+R170)</f>
        <v/>
      </c>
      <c r="T170">
        <f>IF(G170="","",IF(G170&lt;EDATE(TODAY(),-120),"⚠ mais de 10 anos — cortar janela",""))</f>
        <v/>
      </c>
    </row>
    <row r="171">
      <c r="F171" s="6" t="n"/>
      <c r="G171" s="7" t="n"/>
      <c r="H171" s="7" t="n"/>
      <c r="I171">
        <f>IF(OR(G171="",H171=""),"",IF(G171&gt;DATE(2021,3,31),0,DATEDIF(G171,MIN(H171,DATE(2021,3,31)),"m")+1))</f>
        <v/>
      </c>
      <c r="J171">
        <f>IF(OR(G171="",H171=""),"",IF(H171&lt;DATE(2021,4,1),0,DATEDIF(MAX(G171,DATE(2021,4,1)),H171,"m")+1))</f>
        <v/>
      </c>
      <c r="K171" s="6">
        <f>IF(I171="","",I171*F171)</f>
        <v/>
      </c>
      <c r="L171" s="6">
        <f>IF(J171="","",J171*F171*2)</f>
        <v/>
      </c>
      <c r="M171" s="6" t="n"/>
      <c r="N171" s="6" t="n"/>
      <c r="O171" s="6">
        <f>IF(K171="","",MAX(0,K171+L171-N(M171))+N(N171))</f>
        <v/>
      </c>
      <c r="P171" s="8">
        <f>IF(A171="","",0.3)</f>
        <v/>
      </c>
      <c r="Q171" s="6">
        <f>IF(O171="","",O171*P171)</f>
        <v/>
      </c>
      <c r="R171" s="6">
        <f>IF(O171="","",IF(E171="Vara Cível",O171*0.15,0))</f>
        <v/>
      </c>
      <c r="S171" s="6">
        <f>IF(O171="","",Q171+R171)</f>
        <v/>
      </c>
      <c r="T171">
        <f>IF(G171="","",IF(G171&lt;EDATE(TODAY(),-120),"⚠ mais de 10 anos — cortar janela",""))</f>
        <v/>
      </c>
    </row>
    <row r="172">
      <c r="F172" s="6" t="n"/>
      <c r="G172" s="7" t="n"/>
      <c r="H172" s="7" t="n"/>
      <c r="I172">
        <f>IF(OR(G172="",H172=""),"",IF(G172&gt;DATE(2021,3,31),0,DATEDIF(G172,MIN(H172,DATE(2021,3,31)),"m")+1))</f>
        <v/>
      </c>
      <c r="J172">
        <f>IF(OR(G172="",H172=""),"",IF(H172&lt;DATE(2021,4,1),0,DATEDIF(MAX(G172,DATE(2021,4,1)),H172,"m")+1))</f>
        <v/>
      </c>
      <c r="K172" s="6">
        <f>IF(I172="","",I172*F172)</f>
        <v/>
      </c>
      <c r="L172" s="6">
        <f>IF(J172="","",J172*F172*2)</f>
        <v/>
      </c>
      <c r="M172" s="6" t="n"/>
      <c r="N172" s="6" t="n"/>
      <c r="O172" s="6">
        <f>IF(K172="","",MAX(0,K172+L172-N(M172))+N(N172))</f>
        <v/>
      </c>
      <c r="P172" s="8">
        <f>IF(A172="","",0.3)</f>
        <v/>
      </c>
      <c r="Q172" s="6">
        <f>IF(O172="","",O172*P172)</f>
        <v/>
      </c>
      <c r="R172" s="6">
        <f>IF(O172="","",IF(E172="Vara Cível",O172*0.15,0))</f>
        <v/>
      </c>
      <c r="S172" s="6">
        <f>IF(O172="","",Q172+R172)</f>
        <v/>
      </c>
      <c r="T172">
        <f>IF(G172="","",IF(G172&lt;EDATE(TODAY(),-120),"⚠ mais de 10 anos — cortar janela",""))</f>
        <v/>
      </c>
    </row>
    <row r="173">
      <c r="F173" s="6" t="n"/>
      <c r="G173" s="7" t="n"/>
      <c r="H173" s="7" t="n"/>
      <c r="I173">
        <f>IF(OR(G173="",H173=""),"",IF(G173&gt;DATE(2021,3,31),0,DATEDIF(G173,MIN(H173,DATE(2021,3,31)),"m")+1))</f>
        <v/>
      </c>
      <c r="J173">
        <f>IF(OR(G173="",H173=""),"",IF(H173&lt;DATE(2021,4,1),0,DATEDIF(MAX(G173,DATE(2021,4,1)),H173,"m")+1))</f>
        <v/>
      </c>
      <c r="K173" s="6">
        <f>IF(I173="","",I173*F173)</f>
        <v/>
      </c>
      <c r="L173" s="6">
        <f>IF(J173="","",J173*F173*2)</f>
        <v/>
      </c>
      <c r="M173" s="6" t="n"/>
      <c r="N173" s="6" t="n"/>
      <c r="O173" s="6">
        <f>IF(K173="","",MAX(0,K173+L173-N(M173))+N(N173))</f>
        <v/>
      </c>
      <c r="P173" s="8">
        <f>IF(A173="","",0.3)</f>
        <v/>
      </c>
      <c r="Q173" s="6">
        <f>IF(O173="","",O173*P173)</f>
        <v/>
      </c>
      <c r="R173" s="6">
        <f>IF(O173="","",IF(E173="Vara Cível",O173*0.15,0))</f>
        <v/>
      </c>
      <c r="S173" s="6">
        <f>IF(O173="","",Q173+R173)</f>
        <v/>
      </c>
      <c r="T173">
        <f>IF(G173="","",IF(G173&lt;EDATE(TODAY(),-120),"⚠ mais de 10 anos — cortar janela",""))</f>
        <v/>
      </c>
    </row>
    <row r="174">
      <c r="F174" s="6" t="n"/>
      <c r="G174" s="7" t="n"/>
      <c r="H174" s="7" t="n"/>
      <c r="I174">
        <f>IF(OR(G174="",H174=""),"",IF(G174&gt;DATE(2021,3,31),0,DATEDIF(G174,MIN(H174,DATE(2021,3,31)),"m")+1))</f>
        <v/>
      </c>
      <c r="J174">
        <f>IF(OR(G174="",H174=""),"",IF(H174&lt;DATE(2021,4,1),0,DATEDIF(MAX(G174,DATE(2021,4,1)),H174,"m")+1))</f>
        <v/>
      </c>
      <c r="K174" s="6">
        <f>IF(I174="","",I174*F174)</f>
        <v/>
      </c>
      <c r="L174" s="6">
        <f>IF(J174="","",J174*F174*2)</f>
        <v/>
      </c>
      <c r="M174" s="6" t="n"/>
      <c r="N174" s="6" t="n"/>
      <c r="O174" s="6">
        <f>IF(K174="","",MAX(0,K174+L174-N(M174))+N(N174))</f>
        <v/>
      </c>
      <c r="P174" s="8">
        <f>IF(A174="","",0.3)</f>
        <v/>
      </c>
      <c r="Q174" s="6">
        <f>IF(O174="","",O174*P174)</f>
        <v/>
      </c>
      <c r="R174" s="6">
        <f>IF(O174="","",IF(E174="Vara Cível",O174*0.15,0))</f>
        <v/>
      </c>
      <c r="S174" s="6">
        <f>IF(O174="","",Q174+R174)</f>
        <v/>
      </c>
      <c r="T174">
        <f>IF(G174="","",IF(G174&lt;EDATE(TODAY(),-120),"⚠ mais de 10 anos — cortar janela",""))</f>
        <v/>
      </c>
    </row>
    <row r="175">
      <c r="F175" s="6" t="n"/>
      <c r="G175" s="7" t="n"/>
      <c r="H175" s="7" t="n"/>
      <c r="I175">
        <f>IF(OR(G175="",H175=""),"",IF(G175&gt;DATE(2021,3,31),0,DATEDIF(G175,MIN(H175,DATE(2021,3,31)),"m")+1))</f>
        <v/>
      </c>
      <c r="J175">
        <f>IF(OR(G175="",H175=""),"",IF(H175&lt;DATE(2021,4,1),0,DATEDIF(MAX(G175,DATE(2021,4,1)),H175,"m")+1))</f>
        <v/>
      </c>
      <c r="K175" s="6">
        <f>IF(I175="","",I175*F175)</f>
        <v/>
      </c>
      <c r="L175" s="6">
        <f>IF(J175="","",J175*F175*2)</f>
        <v/>
      </c>
      <c r="M175" s="6" t="n"/>
      <c r="N175" s="6" t="n"/>
      <c r="O175" s="6">
        <f>IF(K175="","",MAX(0,K175+L175-N(M175))+N(N175))</f>
        <v/>
      </c>
      <c r="P175" s="8">
        <f>IF(A175="","",0.3)</f>
        <v/>
      </c>
      <c r="Q175" s="6">
        <f>IF(O175="","",O175*P175)</f>
        <v/>
      </c>
      <c r="R175" s="6">
        <f>IF(O175="","",IF(E175="Vara Cível",O175*0.15,0))</f>
        <v/>
      </c>
      <c r="S175" s="6">
        <f>IF(O175="","",Q175+R175)</f>
        <v/>
      </c>
      <c r="T175">
        <f>IF(G175="","",IF(G175&lt;EDATE(TODAY(),-120),"⚠ mais de 10 anos — cortar janela",""))</f>
        <v/>
      </c>
    </row>
    <row r="176">
      <c r="F176" s="6" t="n"/>
      <c r="G176" s="7" t="n"/>
      <c r="H176" s="7" t="n"/>
      <c r="I176">
        <f>IF(OR(G176="",H176=""),"",IF(G176&gt;DATE(2021,3,31),0,DATEDIF(G176,MIN(H176,DATE(2021,3,31)),"m")+1))</f>
        <v/>
      </c>
      <c r="J176">
        <f>IF(OR(G176="",H176=""),"",IF(H176&lt;DATE(2021,4,1),0,DATEDIF(MAX(G176,DATE(2021,4,1)),H176,"m")+1))</f>
        <v/>
      </c>
      <c r="K176" s="6">
        <f>IF(I176="","",I176*F176)</f>
        <v/>
      </c>
      <c r="L176" s="6">
        <f>IF(J176="","",J176*F176*2)</f>
        <v/>
      </c>
      <c r="M176" s="6" t="n"/>
      <c r="N176" s="6" t="n"/>
      <c r="O176" s="6">
        <f>IF(K176="","",MAX(0,K176+L176-N(M176))+N(N176))</f>
        <v/>
      </c>
      <c r="P176" s="8">
        <f>IF(A176="","",0.3)</f>
        <v/>
      </c>
      <c r="Q176" s="6">
        <f>IF(O176="","",O176*P176)</f>
        <v/>
      </c>
      <c r="R176" s="6">
        <f>IF(O176="","",IF(E176="Vara Cível",O176*0.15,0))</f>
        <v/>
      </c>
      <c r="S176" s="6">
        <f>IF(O176="","",Q176+R176)</f>
        <v/>
      </c>
      <c r="T176">
        <f>IF(G176="","",IF(G176&lt;EDATE(TODAY(),-120),"⚠ mais de 10 anos — cortar janela",""))</f>
        <v/>
      </c>
    </row>
    <row r="177">
      <c r="F177" s="6" t="n"/>
      <c r="G177" s="7" t="n"/>
      <c r="H177" s="7" t="n"/>
      <c r="I177">
        <f>IF(OR(G177="",H177=""),"",IF(G177&gt;DATE(2021,3,31),0,DATEDIF(G177,MIN(H177,DATE(2021,3,31)),"m")+1))</f>
        <v/>
      </c>
      <c r="J177">
        <f>IF(OR(G177="",H177=""),"",IF(H177&lt;DATE(2021,4,1),0,DATEDIF(MAX(G177,DATE(2021,4,1)),H177,"m")+1))</f>
        <v/>
      </c>
      <c r="K177" s="6">
        <f>IF(I177="","",I177*F177)</f>
        <v/>
      </c>
      <c r="L177" s="6">
        <f>IF(J177="","",J177*F177*2)</f>
        <v/>
      </c>
      <c r="M177" s="6" t="n"/>
      <c r="N177" s="6" t="n"/>
      <c r="O177" s="6">
        <f>IF(K177="","",MAX(0,K177+L177-N(M177))+N(N177))</f>
        <v/>
      </c>
      <c r="P177" s="8">
        <f>IF(A177="","",0.3)</f>
        <v/>
      </c>
      <c r="Q177" s="6">
        <f>IF(O177="","",O177*P177)</f>
        <v/>
      </c>
      <c r="R177" s="6">
        <f>IF(O177="","",IF(E177="Vara Cível",O177*0.15,0))</f>
        <v/>
      </c>
      <c r="S177" s="6">
        <f>IF(O177="","",Q177+R177)</f>
        <v/>
      </c>
      <c r="T177">
        <f>IF(G177="","",IF(G177&lt;EDATE(TODAY(),-120),"⚠ mais de 10 anos — cortar janela",""))</f>
        <v/>
      </c>
    </row>
    <row r="178">
      <c r="F178" s="6" t="n"/>
      <c r="G178" s="7" t="n"/>
      <c r="H178" s="7" t="n"/>
      <c r="I178">
        <f>IF(OR(G178="",H178=""),"",IF(G178&gt;DATE(2021,3,31),0,DATEDIF(G178,MIN(H178,DATE(2021,3,31)),"m")+1))</f>
        <v/>
      </c>
      <c r="J178">
        <f>IF(OR(G178="",H178=""),"",IF(H178&lt;DATE(2021,4,1),0,DATEDIF(MAX(G178,DATE(2021,4,1)),H178,"m")+1))</f>
        <v/>
      </c>
      <c r="K178" s="6">
        <f>IF(I178="","",I178*F178)</f>
        <v/>
      </c>
      <c r="L178" s="6">
        <f>IF(J178="","",J178*F178*2)</f>
        <v/>
      </c>
      <c r="M178" s="6" t="n"/>
      <c r="N178" s="6" t="n"/>
      <c r="O178" s="6">
        <f>IF(K178="","",MAX(0,K178+L178-N(M178))+N(N178))</f>
        <v/>
      </c>
      <c r="P178" s="8">
        <f>IF(A178="","",0.3)</f>
        <v/>
      </c>
      <c r="Q178" s="6">
        <f>IF(O178="","",O178*P178)</f>
        <v/>
      </c>
      <c r="R178" s="6">
        <f>IF(O178="","",IF(E178="Vara Cível",O178*0.15,0))</f>
        <v/>
      </c>
      <c r="S178" s="6">
        <f>IF(O178="","",Q178+R178)</f>
        <v/>
      </c>
      <c r="T178">
        <f>IF(G178="","",IF(G178&lt;EDATE(TODAY(),-120),"⚠ mais de 10 anos — cortar janela",""))</f>
        <v/>
      </c>
    </row>
    <row r="179">
      <c r="F179" s="6" t="n"/>
      <c r="G179" s="7" t="n"/>
      <c r="H179" s="7" t="n"/>
      <c r="I179">
        <f>IF(OR(G179="",H179=""),"",IF(G179&gt;DATE(2021,3,31),0,DATEDIF(G179,MIN(H179,DATE(2021,3,31)),"m")+1))</f>
        <v/>
      </c>
      <c r="J179">
        <f>IF(OR(G179="",H179=""),"",IF(H179&lt;DATE(2021,4,1),0,DATEDIF(MAX(G179,DATE(2021,4,1)),H179,"m")+1))</f>
        <v/>
      </c>
      <c r="K179" s="6">
        <f>IF(I179="","",I179*F179)</f>
        <v/>
      </c>
      <c r="L179" s="6">
        <f>IF(J179="","",J179*F179*2)</f>
        <v/>
      </c>
      <c r="M179" s="6" t="n"/>
      <c r="N179" s="6" t="n"/>
      <c r="O179" s="6">
        <f>IF(K179="","",MAX(0,K179+L179-N(M179))+N(N179))</f>
        <v/>
      </c>
      <c r="P179" s="8">
        <f>IF(A179="","",0.3)</f>
        <v/>
      </c>
      <c r="Q179" s="6">
        <f>IF(O179="","",O179*P179)</f>
        <v/>
      </c>
      <c r="R179" s="6">
        <f>IF(O179="","",IF(E179="Vara Cível",O179*0.15,0))</f>
        <v/>
      </c>
      <c r="S179" s="6">
        <f>IF(O179="","",Q179+R179)</f>
        <v/>
      </c>
      <c r="T179">
        <f>IF(G179="","",IF(G179&lt;EDATE(TODAY(),-120),"⚠ mais de 10 anos — cortar janela",""))</f>
        <v/>
      </c>
    </row>
    <row r="180">
      <c r="F180" s="6" t="n"/>
      <c r="G180" s="7" t="n"/>
      <c r="H180" s="7" t="n"/>
      <c r="I180">
        <f>IF(OR(G180="",H180=""),"",IF(G180&gt;DATE(2021,3,31),0,DATEDIF(G180,MIN(H180,DATE(2021,3,31)),"m")+1))</f>
        <v/>
      </c>
      <c r="J180">
        <f>IF(OR(G180="",H180=""),"",IF(H180&lt;DATE(2021,4,1),0,DATEDIF(MAX(G180,DATE(2021,4,1)),H180,"m")+1))</f>
        <v/>
      </c>
      <c r="K180" s="6">
        <f>IF(I180="","",I180*F180)</f>
        <v/>
      </c>
      <c r="L180" s="6">
        <f>IF(J180="","",J180*F180*2)</f>
        <v/>
      </c>
      <c r="M180" s="6" t="n"/>
      <c r="N180" s="6" t="n"/>
      <c r="O180" s="6">
        <f>IF(K180="","",MAX(0,K180+L180-N(M180))+N(N180))</f>
        <v/>
      </c>
      <c r="P180" s="8">
        <f>IF(A180="","",0.3)</f>
        <v/>
      </c>
      <c r="Q180" s="6">
        <f>IF(O180="","",O180*P180)</f>
        <v/>
      </c>
      <c r="R180" s="6">
        <f>IF(O180="","",IF(E180="Vara Cível",O180*0.15,0))</f>
        <v/>
      </c>
      <c r="S180" s="6">
        <f>IF(O180="","",Q180+R180)</f>
        <v/>
      </c>
      <c r="T180">
        <f>IF(G180="","",IF(G180&lt;EDATE(TODAY(),-120),"⚠ mais de 10 anos — cortar janela",""))</f>
        <v/>
      </c>
    </row>
    <row r="181">
      <c r="F181" s="6" t="n"/>
      <c r="G181" s="7" t="n"/>
      <c r="H181" s="7" t="n"/>
      <c r="I181">
        <f>IF(OR(G181="",H181=""),"",IF(G181&gt;DATE(2021,3,31),0,DATEDIF(G181,MIN(H181,DATE(2021,3,31)),"m")+1))</f>
        <v/>
      </c>
      <c r="J181">
        <f>IF(OR(G181="",H181=""),"",IF(H181&lt;DATE(2021,4,1),0,DATEDIF(MAX(G181,DATE(2021,4,1)),H181,"m")+1))</f>
        <v/>
      </c>
      <c r="K181" s="6">
        <f>IF(I181="","",I181*F181)</f>
        <v/>
      </c>
      <c r="L181" s="6">
        <f>IF(J181="","",J181*F181*2)</f>
        <v/>
      </c>
      <c r="M181" s="6" t="n"/>
      <c r="N181" s="6" t="n"/>
      <c r="O181" s="6">
        <f>IF(K181="","",MAX(0,K181+L181-N(M181))+N(N181))</f>
        <v/>
      </c>
      <c r="P181" s="8">
        <f>IF(A181="","",0.3)</f>
        <v/>
      </c>
      <c r="Q181" s="6">
        <f>IF(O181="","",O181*P181)</f>
        <v/>
      </c>
      <c r="R181" s="6">
        <f>IF(O181="","",IF(E181="Vara Cível",O181*0.15,0))</f>
        <v/>
      </c>
      <c r="S181" s="6">
        <f>IF(O181="","",Q181+R181)</f>
        <v/>
      </c>
      <c r="T181">
        <f>IF(G181="","",IF(G181&lt;EDATE(TODAY(),-120),"⚠ mais de 10 anos — cortar janela",""))</f>
        <v/>
      </c>
    </row>
    <row r="182">
      <c r="F182" s="6" t="n"/>
      <c r="G182" s="7" t="n"/>
      <c r="H182" s="7" t="n"/>
      <c r="I182">
        <f>IF(OR(G182="",H182=""),"",IF(G182&gt;DATE(2021,3,31),0,DATEDIF(G182,MIN(H182,DATE(2021,3,31)),"m")+1))</f>
        <v/>
      </c>
      <c r="J182">
        <f>IF(OR(G182="",H182=""),"",IF(H182&lt;DATE(2021,4,1),0,DATEDIF(MAX(G182,DATE(2021,4,1)),H182,"m")+1))</f>
        <v/>
      </c>
      <c r="K182" s="6">
        <f>IF(I182="","",I182*F182)</f>
        <v/>
      </c>
      <c r="L182" s="6">
        <f>IF(J182="","",J182*F182*2)</f>
        <v/>
      </c>
      <c r="M182" s="6" t="n"/>
      <c r="N182" s="6" t="n"/>
      <c r="O182" s="6">
        <f>IF(K182="","",MAX(0,K182+L182-N(M182))+N(N182))</f>
        <v/>
      </c>
      <c r="P182" s="8">
        <f>IF(A182="","",0.3)</f>
        <v/>
      </c>
      <c r="Q182" s="6">
        <f>IF(O182="","",O182*P182)</f>
        <v/>
      </c>
      <c r="R182" s="6">
        <f>IF(O182="","",IF(E182="Vara Cível",O182*0.15,0))</f>
        <v/>
      </c>
      <c r="S182" s="6">
        <f>IF(O182="","",Q182+R182)</f>
        <v/>
      </c>
      <c r="T182">
        <f>IF(G182="","",IF(G182&lt;EDATE(TODAY(),-120),"⚠ mais de 10 anos — cortar janela",""))</f>
        <v/>
      </c>
    </row>
    <row r="183">
      <c r="F183" s="6" t="n"/>
      <c r="G183" s="7" t="n"/>
      <c r="H183" s="7" t="n"/>
      <c r="I183">
        <f>IF(OR(G183="",H183=""),"",IF(G183&gt;DATE(2021,3,31),0,DATEDIF(G183,MIN(H183,DATE(2021,3,31)),"m")+1))</f>
        <v/>
      </c>
      <c r="J183">
        <f>IF(OR(G183="",H183=""),"",IF(H183&lt;DATE(2021,4,1),0,DATEDIF(MAX(G183,DATE(2021,4,1)),H183,"m")+1))</f>
        <v/>
      </c>
      <c r="K183" s="6">
        <f>IF(I183="","",I183*F183)</f>
        <v/>
      </c>
      <c r="L183" s="6">
        <f>IF(J183="","",J183*F183*2)</f>
        <v/>
      </c>
      <c r="M183" s="6" t="n"/>
      <c r="N183" s="6" t="n"/>
      <c r="O183" s="6">
        <f>IF(K183="","",MAX(0,K183+L183-N(M183))+N(N183))</f>
        <v/>
      </c>
      <c r="P183" s="8">
        <f>IF(A183="","",0.3)</f>
        <v/>
      </c>
      <c r="Q183" s="6">
        <f>IF(O183="","",O183*P183)</f>
        <v/>
      </c>
      <c r="R183" s="6">
        <f>IF(O183="","",IF(E183="Vara Cível",O183*0.15,0))</f>
        <v/>
      </c>
      <c r="S183" s="6">
        <f>IF(O183="","",Q183+R183)</f>
        <v/>
      </c>
      <c r="T183">
        <f>IF(G183="","",IF(G183&lt;EDATE(TODAY(),-120),"⚠ mais de 10 anos — cortar janela",""))</f>
        <v/>
      </c>
    </row>
    <row r="184">
      <c r="F184" s="6" t="n"/>
      <c r="G184" s="7" t="n"/>
      <c r="H184" s="7" t="n"/>
      <c r="I184">
        <f>IF(OR(G184="",H184=""),"",IF(G184&gt;DATE(2021,3,31),0,DATEDIF(G184,MIN(H184,DATE(2021,3,31)),"m")+1))</f>
        <v/>
      </c>
      <c r="J184">
        <f>IF(OR(G184="",H184=""),"",IF(H184&lt;DATE(2021,4,1),0,DATEDIF(MAX(G184,DATE(2021,4,1)),H184,"m")+1))</f>
        <v/>
      </c>
      <c r="K184" s="6">
        <f>IF(I184="","",I184*F184)</f>
        <v/>
      </c>
      <c r="L184" s="6">
        <f>IF(J184="","",J184*F184*2)</f>
        <v/>
      </c>
      <c r="M184" s="6" t="n"/>
      <c r="N184" s="6" t="n"/>
      <c r="O184" s="6">
        <f>IF(K184="","",MAX(0,K184+L184-N(M184))+N(N184))</f>
        <v/>
      </c>
      <c r="P184" s="8">
        <f>IF(A184="","",0.3)</f>
        <v/>
      </c>
      <c r="Q184" s="6">
        <f>IF(O184="","",O184*P184)</f>
        <v/>
      </c>
      <c r="R184" s="6">
        <f>IF(O184="","",IF(E184="Vara Cível",O184*0.15,0))</f>
        <v/>
      </c>
      <c r="S184" s="6">
        <f>IF(O184="","",Q184+R184)</f>
        <v/>
      </c>
      <c r="T184">
        <f>IF(G184="","",IF(G184&lt;EDATE(TODAY(),-120),"⚠ mais de 10 anos — cortar janela",""))</f>
        <v/>
      </c>
    </row>
    <row r="185">
      <c r="F185" s="6" t="n"/>
      <c r="G185" s="7" t="n"/>
      <c r="H185" s="7" t="n"/>
      <c r="I185">
        <f>IF(OR(G185="",H185=""),"",IF(G185&gt;DATE(2021,3,31),0,DATEDIF(G185,MIN(H185,DATE(2021,3,31)),"m")+1))</f>
        <v/>
      </c>
      <c r="J185">
        <f>IF(OR(G185="",H185=""),"",IF(H185&lt;DATE(2021,4,1),0,DATEDIF(MAX(G185,DATE(2021,4,1)),H185,"m")+1))</f>
        <v/>
      </c>
      <c r="K185" s="6">
        <f>IF(I185="","",I185*F185)</f>
        <v/>
      </c>
      <c r="L185" s="6">
        <f>IF(J185="","",J185*F185*2)</f>
        <v/>
      </c>
      <c r="M185" s="6" t="n"/>
      <c r="N185" s="6" t="n"/>
      <c r="O185" s="6">
        <f>IF(K185="","",MAX(0,K185+L185-N(M185))+N(N185))</f>
        <v/>
      </c>
      <c r="P185" s="8">
        <f>IF(A185="","",0.3)</f>
        <v/>
      </c>
      <c r="Q185" s="6">
        <f>IF(O185="","",O185*P185)</f>
        <v/>
      </c>
      <c r="R185" s="6">
        <f>IF(O185="","",IF(E185="Vara Cível",O185*0.15,0))</f>
        <v/>
      </c>
      <c r="S185" s="6">
        <f>IF(O185="","",Q185+R185)</f>
        <v/>
      </c>
      <c r="T185">
        <f>IF(G185="","",IF(G185&lt;EDATE(TODAY(),-120),"⚠ mais de 10 anos — cortar janela",""))</f>
        <v/>
      </c>
    </row>
    <row r="186">
      <c r="F186" s="6" t="n"/>
      <c r="G186" s="7" t="n"/>
      <c r="H186" s="7" t="n"/>
      <c r="I186">
        <f>IF(OR(G186="",H186=""),"",IF(G186&gt;DATE(2021,3,31),0,DATEDIF(G186,MIN(H186,DATE(2021,3,31)),"m")+1))</f>
        <v/>
      </c>
      <c r="J186">
        <f>IF(OR(G186="",H186=""),"",IF(H186&lt;DATE(2021,4,1),0,DATEDIF(MAX(G186,DATE(2021,4,1)),H186,"m")+1))</f>
        <v/>
      </c>
      <c r="K186" s="6">
        <f>IF(I186="","",I186*F186)</f>
        <v/>
      </c>
      <c r="L186" s="6">
        <f>IF(J186="","",J186*F186*2)</f>
        <v/>
      </c>
      <c r="M186" s="6" t="n"/>
      <c r="N186" s="6" t="n"/>
      <c r="O186" s="6">
        <f>IF(K186="","",MAX(0,K186+L186-N(M186))+N(N186))</f>
        <v/>
      </c>
      <c r="P186" s="8">
        <f>IF(A186="","",0.3)</f>
        <v/>
      </c>
      <c r="Q186" s="6">
        <f>IF(O186="","",O186*P186)</f>
        <v/>
      </c>
      <c r="R186" s="6">
        <f>IF(O186="","",IF(E186="Vara Cível",O186*0.15,0))</f>
        <v/>
      </c>
      <c r="S186" s="6">
        <f>IF(O186="","",Q186+R186)</f>
        <v/>
      </c>
      <c r="T186">
        <f>IF(G186="","",IF(G186&lt;EDATE(TODAY(),-120),"⚠ mais de 10 anos — cortar janela",""))</f>
        <v/>
      </c>
    </row>
    <row r="187">
      <c r="F187" s="6" t="n"/>
      <c r="G187" s="7" t="n"/>
      <c r="H187" s="7" t="n"/>
      <c r="I187">
        <f>IF(OR(G187="",H187=""),"",IF(G187&gt;DATE(2021,3,31),0,DATEDIF(G187,MIN(H187,DATE(2021,3,31)),"m")+1))</f>
        <v/>
      </c>
      <c r="J187">
        <f>IF(OR(G187="",H187=""),"",IF(H187&lt;DATE(2021,4,1),0,DATEDIF(MAX(G187,DATE(2021,4,1)),H187,"m")+1))</f>
        <v/>
      </c>
      <c r="K187" s="6">
        <f>IF(I187="","",I187*F187)</f>
        <v/>
      </c>
      <c r="L187" s="6">
        <f>IF(J187="","",J187*F187*2)</f>
        <v/>
      </c>
      <c r="M187" s="6" t="n"/>
      <c r="N187" s="6" t="n"/>
      <c r="O187" s="6">
        <f>IF(K187="","",MAX(0,K187+L187-N(M187))+N(N187))</f>
        <v/>
      </c>
      <c r="P187" s="8">
        <f>IF(A187="","",0.3)</f>
        <v/>
      </c>
      <c r="Q187" s="6">
        <f>IF(O187="","",O187*P187)</f>
        <v/>
      </c>
      <c r="R187" s="6">
        <f>IF(O187="","",IF(E187="Vara Cível",O187*0.15,0))</f>
        <v/>
      </c>
      <c r="S187" s="6">
        <f>IF(O187="","",Q187+R187)</f>
        <v/>
      </c>
      <c r="T187">
        <f>IF(G187="","",IF(G187&lt;EDATE(TODAY(),-120),"⚠ mais de 10 anos — cortar janela",""))</f>
        <v/>
      </c>
    </row>
    <row r="188">
      <c r="F188" s="6" t="n"/>
      <c r="G188" s="7" t="n"/>
      <c r="H188" s="7" t="n"/>
      <c r="I188">
        <f>IF(OR(G188="",H188=""),"",IF(G188&gt;DATE(2021,3,31),0,DATEDIF(G188,MIN(H188,DATE(2021,3,31)),"m")+1))</f>
        <v/>
      </c>
      <c r="J188">
        <f>IF(OR(G188="",H188=""),"",IF(H188&lt;DATE(2021,4,1),0,DATEDIF(MAX(G188,DATE(2021,4,1)),H188,"m")+1))</f>
        <v/>
      </c>
      <c r="K188" s="6">
        <f>IF(I188="","",I188*F188)</f>
        <v/>
      </c>
      <c r="L188" s="6">
        <f>IF(J188="","",J188*F188*2)</f>
        <v/>
      </c>
      <c r="M188" s="6" t="n"/>
      <c r="N188" s="6" t="n"/>
      <c r="O188" s="6">
        <f>IF(K188="","",MAX(0,K188+L188-N(M188))+N(N188))</f>
        <v/>
      </c>
      <c r="P188" s="8">
        <f>IF(A188="","",0.3)</f>
        <v/>
      </c>
      <c r="Q188" s="6">
        <f>IF(O188="","",O188*P188)</f>
        <v/>
      </c>
      <c r="R188" s="6">
        <f>IF(O188="","",IF(E188="Vara Cível",O188*0.15,0))</f>
        <v/>
      </c>
      <c r="S188" s="6">
        <f>IF(O188="","",Q188+R188)</f>
        <v/>
      </c>
      <c r="T188">
        <f>IF(G188="","",IF(G188&lt;EDATE(TODAY(),-120),"⚠ mais de 10 anos — cortar janela",""))</f>
        <v/>
      </c>
    </row>
    <row r="189">
      <c r="F189" s="6" t="n"/>
      <c r="G189" s="7" t="n"/>
      <c r="H189" s="7" t="n"/>
      <c r="I189">
        <f>IF(OR(G189="",H189=""),"",IF(G189&gt;DATE(2021,3,31),0,DATEDIF(G189,MIN(H189,DATE(2021,3,31)),"m")+1))</f>
        <v/>
      </c>
      <c r="J189">
        <f>IF(OR(G189="",H189=""),"",IF(H189&lt;DATE(2021,4,1),0,DATEDIF(MAX(G189,DATE(2021,4,1)),H189,"m")+1))</f>
        <v/>
      </c>
      <c r="K189" s="6">
        <f>IF(I189="","",I189*F189)</f>
        <v/>
      </c>
      <c r="L189" s="6">
        <f>IF(J189="","",J189*F189*2)</f>
        <v/>
      </c>
      <c r="M189" s="6" t="n"/>
      <c r="N189" s="6" t="n"/>
      <c r="O189" s="6">
        <f>IF(K189="","",MAX(0,K189+L189-N(M189))+N(N189))</f>
        <v/>
      </c>
      <c r="P189" s="8">
        <f>IF(A189="","",0.3)</f>
        <v/>
      </c>
      <c r="Q189" s="6">
        <f>IF(O189="","",O189*P189)</f>
        <v/>
      </c>
      <c r="R189" s="6">
        <f>IF(O189="","",IF(E189="Vara Cível",O189*0.15,0))</f>
        <v/>
      </c>
      <c r="S189" s="6">
        <f>IF(O189="","",Q189+R189)</f>
        <v/>
      </c>
      <c r="T189">
        <f>IF(G189="","",IF(G189&lt;EDATE(TODAY(),-120),"⚠ mais de 10 anos — cortar janela",""))</f>
        <v/>
      </c>
    </row>
    <row r="190">
      <c r="F190" s="6" t="n"/>
      <c r="G190" s="7" t="n"/>
      <c r="H190" s="7" t="n"/>
      <c r="I190">
        <f>IF(OR(G190="",H190=""),"",IF(G190&gt;DATE(2021,3,31),0,DATEDIF(G190,MIN(H190,DATE(2021,3,31)),"m")+1))</f>
        <v/>
      </c>
      <c r="J190">
        <f>IF(OR(G190="",H190=""),"",IF(H190&lt;DATE(2021,4,1),0,DATEDIF(MAX(G190,DATE(2021,4,1)),H190,"m")+1))</f>
        <v/>
      </c>
      <c r="K190" s="6">
        <f>IF(I190="","",I190*F190)</f>
        <v/>
      </c>
      <c r="L190" s="6">
        <f>IF(J190="","",J190*F190*2)</f>
        <v/>
      </c>
      <c r="M190" s="6" t="n"/>
      <c r="N190" s="6" t="n"/>
      <c r="O190" s="6">
        <f>IF(K190="","",MAX(0,K190+L190-N(M190))+N(N190))</f>
        <v/>
      </c>
      <c r="P190" s="8">
        <f>IF(A190="","",0.3)</f>
        <v/>
      </c>
      <c r="Q190" s="6">
        <f>IF(O190="","",O190*P190)</f>
        <v/>
      </c>
      <c r="R190" s="6">
        <f>IF(O190="","",IF(E190="Vara Cível",O190*0.15,0))</f>
        <v/>
      </c>
      <c r="S190" s="6">
        <f>IF(O190="","",Q190+R190)</f>
        <v/>
      </c>
      <c r="T190">
        <f>IF(G190="","",IF(G190&lt;EDATE(TODAY(),-120),"⚠ mais de 10 anos — cortar janela",""))</f>
        <v/>
      </c>
    </row>
    <row r="191">
      <c r="F191" s="6" t="n"/>
      <c r="G191" s="7" t="n"/>
      <c r="H191" s="7" t="n"/>
      <c r="I191">
        <f>IF(OR(G191="",H191=""),"",IF(G191&gt;DATE(2021,3,31),0,DATEDIF(G191,MIN(H191,DATE(2021,3,31)),"m")+1))</f>
        <v/>
      </c>
      <c r="J191">
        <f>IF(OR(G191="",H191=""),"",IF(H191&lt;DATE(2021,4,1),0,DATEDIF(MAX(G191,DATE(2021,4,1)),H191,"m")+1))</f>
        <v/>
      </c>
      <c r="K191" s="6">
        <f>IF(I191="","",I191*F191)</f>
        <v/>
      </c>
      <c r="L191" s="6">
        <f>IF(J191="","",J191*F191*2)</f>
        <v/>
      </c>
      <c r="M191" s="6" t="n"/>
      <c r="N191" s="6" t="n"/>
      <c r="O191" s="6">
        <f>IF(K191="","",MAX(0,K191+L191-N(M191))+N(N191))</f>
        <v/>
      </c>
      <c r="P191" s="8">
        <f>IF(A191="","",0.3)</f>
        <v/>
      </c>
      <c r="Q191" s="6">
        <f>IF(O191="","",O191*P191)</f>
        <v/>
      </c>
      <c r="R191" s="6">
        <f>IF(O191="","",IF(E191="Vara Cível",O191*0.15,0))</f>
        <v/>
      </c>
      <c r="S191" s="6">
        <f>IF(O191="","",Q191+R191)</f>
        <v/>
      </c>
      <c r="T191">
        <f>IF(G191="","",IF(G191&lt;EDATE(TODAY(),-120),"⚠ mais de 10 anos — cortar janela",""))</f>
        <v/>
      </c>
    </row>
    <row r="192">
      <c r="F192" s="6" t="n"/>
      <c r="G192" s="7" t="n"/>
      <c r="H192" s="7" t="n"/>
      <c r="I192">
        <f>IF(OR(G192="",H192=""),"",IF(G192&gt;DATE(2021,3,31),0,DATEDIF(G192,MIN(H192,DATE(2021,3,31)),"m")+1))</f>
        <v/>
      </c>
      <c r="J192">
        <f>IF(OR(G192="",H192=""),"",IF(H192&lt;DATE(2021,4,1),0,DATEDIF(MAX(G192,DATE(2021,4,1)),H192,"m")+1))</f>
        <v/>
      </c>
      <c r="K192" s="6">
        <f>IF(I192="","",I192*F192)</f>
        <v/>
      </c>
      <c r="L192" s="6">
        <f>IF(J192="","",J192*F192*2)</f>
        <v/>
      </c>
      <c r="M192" s="6" t="n"/>
      <c r="N192" s="6" t="n"/>
      <c r="O192" s="6">
        <f>IF(K192="","",MAX(0,K192+L192-N(M192))+N(N192))</f>
        <v/>
      </c>
      <c r="P192" s="8">
        <f>IF(A192="","",0.3)</f>
        <v/>
      </c>
      <c r="Q192" s="6">
        <f>IF(O192="","",O192*P192)</f>
        <v/>
      </c>
      <c r="R192" s="6">
        <f>IF(O192="","",IF(E192="Vara Cível",O192*0.15,0))</f>
        <v/>
      </c>
      <c r="S192" s="6">
        <f>IF(O192="","",Q192+R192)</f>
        <v/>
      </c>
      <c r="T192">
        <f>IF(G192="","",IF(G192&lt;EDATE(TODAY(),-120),"⚠ mais de 10 anos — cortar janela",""))</f>
        <v/>
      </c>
    </row>
    <row r="193">
      <c r="F193" s="6" t="n"/>
      <c r="G193" s="7" t="n"/>
      <c r="H193" s="7" t="n"/>
      <c r="I193">
        <f>IF(OR(G193="",H193=""),"",IF(G193&gt;DATE(2021,3,31),0,DATEDIF(G193,MIN(H193,DATE(2021,3,31)),"m")+1))</f>
        <v/>
      </c>
      <c r="J193">
        <f>IF(OR(G193="",H193=""),"",IF(H193&lt;DATE(2021,4,1),0,DATEDIF(MAX(G193,DATE(2021,4,1)),H193,"m")+1))</f>
        <v/>
      </c>
      <c r="K193" s="6">
        <f>IF(I193="","",I193*F193)</f>
        <v/>
      </c>
      <c r="L193" s="6">
        <f>IF(J193="","",J193*F193*2)</f>
        <v/>
      </c>
      <c r="M193" s="6" t="n"/>
      <c r="N193" s="6" t="n"/>
      <c r="O193" s="6">
        <f>IF(K193="","",MAX(0,K193+L193-N(M193))+N(N193))</f>
        <v/>
      </c>
      <c r="P193" s="8">
        <f>IF(A193="","",0.3)</f>
        <v/>
      </c>
      <c r="Q193" s="6">
        <f>IF(O193="","",O193*P193)</f>
        <v/>
      </c>
      <c r="R193" s="6">
        <f>IF(O193="","",IF(E193="Vara Cível",O193*0.15,0))</f>
        <v/>
      </c>
      <c r="S193" s="6">
        <f>IF(O193="","",Q193+R193)</f>
        <v/>
      </c>
      <c r="T193">
        <f>IF(G193="","",IF(G193&lt;EDATE(TODAY(),-120),"⚠ mais de 10 anos — cortar janela",""))</f>
        <v/>
      </c>
    </row>
    <row r="194">
      <c r="F194" s="6" t="n"/>
      <c r="G194" s="7" t="n"/>
      <c r="H194" s="7" t="n"/>
      <c r="I194">
        <f>IF(OR(G194="",H194=""),"",IF(G194&gt;DATE(2021,3,31),0,DATEDIF(G194,MIN(H194,DATE(2021,3,31)),"m")+1))</f>
        <v/>
      </c>
      <c r="J194">
        <f>IF(OR(G194="",H194=""),"",IF(H194&lt;DATE(2021,4,1),0,DATEDIF(MAX(G194,DATE(2021,4,1)),H194,"m")+1))</f>
        <v/>
      </c>
      <c r="K194" s="6">
        <f>IF(I194="","",I194*F194)</f>
        <v/>
      </c>
      <c r="L194" s="6">
        <f>IF(J194="","",J194*F194*2)</f>
        <v/>
      </c>
      <c r="M194" s="6" t="n"/>
      <c r="N194" s="6" t="n"/>
      <c r="O194" s="6">
        <f>IF(K194="","",MAX(0,K194+L194-N(M194))+N(N194))</f>
        <v/>
      </c>
      <c r="P194" s="8">
        <f>IF(A194="","",0.3)</f>
        <v/>
      </c>
      <c r="Q194" s="6">
        <f>IF(O194="","",O194*P194)</f>
        <v/>
      </c>
      <c r="R194" s="6">
        <f>IF(O194="","",IF(E194="Vara Cível",O194*0.15,0))</f>
        <v/>
      </c>
      <c r="S194" s="6">
        <f>IF(O194="","",Q194+R194)</f>
        <v/>
      </c>
      <c r="T194">
        <f>IF(G194="","",IF(G194&lt;EDATE(TODAY(),-120),"⚠ mais de 10 anos — cortar janela",""))</f>
        <v/>
      </c>
    </row>
    <row r="195">
      <c r="F195" s="6" t="n"/>
      <c r="G195" s="7" t="n"/>
      <c r="H195" s="7" t="n"/>
      <c r="I195">
        <f>IF(OR(G195="",H195=""),"",IF(G195&gt;DATE(2021,3,31),0,DATEDIF(G195,MIN(H195,DATE(2021,3,31)),"m")+1))</f>
        <v/>
      </c>
      <c r="J195">
        <f>IF(OR(G195="",H195=""),"",IF(H195&lt;DATE(2021,4,1),0,DATEDIF(MAX(G195,DATE(2021,4,1)),H195,"m")+1))</f>
        <v/>
      </c>
      <c r="K195" s="6">
        <f>IF(I195="","",I195*F195)</f>
        <v/>
      </c>
      <c r="L195" s="6">
        <f>IF(J195="","",J195*F195*2)</f>
        <v/>
      </c>
      <c r="M195" s="6" t="n"/>
      <c r="N195" s="6" t="n"/>
      <c r="O195" s="6">
        <f>IF(K195="","",MAX(0,K195+L195-N(M195))+N(N195))</f>
        <v/>
      </c>
      <c r="P195" s="8">
        <f>IF(A195="","",0.3)</f>
        <v/>
      </c>
      <c r="Q195" s="6">
        <f>IF(O195="","",O195*P195)</f>
        <v/>
      </c>
      <c r="R195" s="6">
        <f>IF(O195="","",IF(E195="Vara Cível",O195*0.15,0))</f>
        <v/>
      </c>
      <c r="S195" s="6">
        <f>IF(O195="","",Q195+R195)</f>
        <v/>
      </c>
      <c r="T195">
        <f>IF(G195="","",IF(G195&lt;EDATE(TODAY(),-120),"⚠ mais de 10 anos — cortar janela",""))</f>
        <v/>
      </c>
    </row>
    <row r="196">
      <c r="F196" s="6" t="n"/>
      <c r="G196" s="7" t="n"/>
      <c r="H196" s="7" t="n"/>
      <c r="I196">
        <f>IF(OR(G196="",H196=""),"",IF(G196&gt;DATE(2021,3,31),0,DATEDIF(G196,MIN(H196,DATE(2021,3,31)),"m")+1))</f>
        <v/>
      </c>
      <c r="J196">
        <f>IF(OR(G196="",H196=""),"",IF(H196&lt;DATE(2021,4,1),0,DATEDIF(MAX(G196,DATE(2021,4,1)),H196,"m")+1))</f>
        <v/>
      </c>
      <c r="K196" s="6">
        <f>IF(I196="","",I196*F196)</f>
        <v/>
      </c>
      <c r="L196" s="6">
        <f>IF(J196="","",J196*F196*2)</f>
        <v/>
      </c>
      <c r="M196" s="6" t="n"/>
      <c r="N196" s="6" t="n"/>
      <c r="O196" s="6">
        <f>IF(K196="","",MAX(0,K196+L196-N(M196))+N(N196))</f>
        <v/>
      </c>
      <c r="P196" s="8">
        <f>IF(A196="","",0.3)</f>
        <v/>
      </c>
      <c r="Q196" s="6">
        <f>IF(O196="","",O196*P196)</f>
        <v/>
      </c>
      <c r="R196" s="6">
        <f>IF(O196="","",IF(E196="Vara Cível",O196*0.15,0))</f>
        <v/>
      </c>
      <c r="S196" s="6">
        <f>IF(O196="","",Q196+R196)</f>
        <v/>
      </c>
      <c r="T196">
        <f>IF(G196="","",IF(G196&lt;EDATE(TODAY(),-120),"⚠ mais de 10 anos — cortar janela",""))</f>
        <v/>
      </c>
    </row>
    <row r="197">
      <c r="F197" s="6" t="n"/>
      <c r="G197" s="7" t="n"/>
      <c r="H197" s="7" t="n"/>
      <c r="I197">
        <f>IF(OR(G197="",H197=""),"",IF(G197&gt;DATE(2021,3,31),0,DATEDIF(G197,MIN(H197,DATE(2021,3,31)),"m")+1))</f>
        <v/>
      </c>
      <c r="J197">
        <f>IF(OR(G197="",H197=""),"",IF(H197&lt;DATE(2021,4,1),0,DATEDIF(MAX(G197,DATE(2021,4,1)),H197,"m")+1))</f>
        <v/>
      </c>
      <c r="K197" s="6">
        <f>IF(I197="","",I197*F197)</f>
        <v/>
      </c>
      <c r="L197" s="6">
        <f>IF(J197="","",J197*F197*2)</f>
        <v/>
      </c>
      <c r="M197" s="6" t="n"/>
      <c r="N197" s="6" t="n"/>
      <c r="O197" s="6">
        <f>IF(K197="","",MAX(0,K197+L197-N(M197))+N(N197))</f>
        <v/>
      </c>
      <c r="P197" s="8">
        <f>IF(A197="","",0.3)</f>
        <v/>
      </c>
      <c r="Q197" s="6">
        <f>IF(O197="","",O197*P197)</f>
        <v/>
      </c>
      <c r="R197" s="6">
        <f>IF(O197="","",IF(E197="Vara Cível",O197*0.15,0))</f>
        <v/>
      </c>
      <c r="S197" s="6">
        <f>IF(O197="","",Q197+R197)</f>
        <v/>
      </c>
      <c r="T197">
        <f>IF(G197="","",IF(G197&lt;EDATE(TODAY(),-120),"⚠ mais de 10 anos — cortar janela",""))</f>
        <v/>
      </c>
    </row>
    <row r="198">
      <c r="F198" s="6" t="n"/>
      <c r="G198" s="7" t="n"/>
      <c r="H198" s="7" t="n"/>
      <c r="I198">
        <f>IF(OR(G198="",H198=""),"",IF(G198&gt;DATE(2021,3,31),0,DATEDIF(G198,MIN(H198,DATE(2021,3,31)),"m")+1))</f>
        <v/>
      </c>
      <c r="J198">
        <f>IF(OR(G198="",H198=""),"",IF(H198&lt;DATE(2021,4,1),0,DATEDIF(MAX(G198,DATE(2021,4,1)),H198,"m")+1))</f>
        <v/>
      </c>
      <c r="K198" s="6">
        <f>IF(I198="","",I198*F198)</f>
        <v/>
      </c>
      <c r="L198" s="6">
        <f>IF(J198="","",J198*F198*2)</f>
        <v/>
      </c>
      <c r="M198" s="6" t="n"/>
      <c r="N198" s="6" t="n"/>
      <c r="O198" s="6">
        <f>IF(K198="","",MAX(0,K198+L198-N(M198))+N(N198))</f>
        <v/>
      </c>
      <c r="P198" s="8">
        <f>IF(A198="","",0.3)</f>
        <v/>
      </c>
      <c r="Q198" s="6">
        <f>IF(O198="","",O198*P198)</f>
        <v/>
      </c>
      <c r="R198" s="6">
        <f>IF(O198="","",IF(E198="Vara Cível",O198*0.15,0))</f>
        <v/>
      </c>
      <c r="S198" s="6">
        <f>IF(O198="","",Q198+R198)</f>
        <v/>
      </c>
      <c r="T198">
        <f>IF(G198="","",IF(G198&lt;EDATE(TODAY(),-120),"⚠ mais de 10 anos — cortar janela",""))</f>
        <v/>
      </c>
    </row>
    <row r="199">
      <c r="F199" s="6" t="n"/>
      <c r="G199" s="7" t="n"/>
      <c r="H199" s="7" t="n"/>
      <c r="I199">
        <f>IF(OR(G199="",H199=""),"",IF(G199&gt;DATE(2021,3,31),0,DATEDIF(G199,MIN(H199,DATE(2021,3,31)),"m")+1))</f>
        <v/>
      </c>
      <c r="J199">
        <f>IF(OR(G199="",H199=""),"",IF(H199&lt;DATE(2021,4,1),0,DATEDIF(MAX(G199,DATE(2021,4,1)),H199,"m")+1))</f>
        <v/>
      </c>
      <c r="K199" s="6">
        <f>IF(I199="","",I199*F199)</f>
        <v/>
      </c>
      <c r="L199" s="6">
        <f>IF(J199="","",J199*F199*2)</f>
        <v/>
      </c>
      <c r="M199" s="6" t="n"/>
      <c r="N199" s="6" t="n"/>
      <c r="O199" s="6">
        <f>IF(K199="","",MAX(0,K199+L199-N(M199))+N(N199))</f>
        <v/>
      </c>
      <c r="P199" s="8">
        <f>IF(A199="","",0.3)</f>
        <v/>
      </c>
      <c r="Q199" s="6">
        <f>IF(O199="","",O199*P199)</f>
        <v/>
      </c>
      <c r="R199" s="6">
        <f>IF(O199="","",IF(E199="Vara Cível",O199*0.15,0))</f>
        <v/>
      </c>
      <c r="S199" s="6">
        <f>IF(O199="","",Q199+R199)</f>
        <v/>
      </c>
      <c r="T199">
        <f>IF(G199="","",IF(G199&lt;EDATE(TODAY(),-120),"⚠ mais de 10 anos — cortar janela",""))</f>
        <v/>
      </c>
    </row>
    <row r="200">
      <c r="F200" s="6" t="n"/>
      <c r="G200" s="7" t="n"/>
      <c r="H200" s="7" t="n"/>
      <c r="I200">
        <f>IF(OR(G200="",H200=""),"",IF(G200&gt;DATE(2021,3,31),0,DATEDIF(G200,MIN(H200,DATE(2021,3,31)),"m")+1))</f>
        <v/>
      </c>
      <c r="J200">
        <f>IF(OR(G200="",H200=""),"",IF(H200&lt;DATE(2021,4,1),0,DATEDIF(MAX(G200,DATE(2021,4,1)),H200,"m")+1))</f>
        <v/>
      </c>
      <c r="K200" s="6">
        <f>IF(I200="","",I200*F200)</f>
        <v/>
      </c>
      <c r="L200" s="6">
        <f>IF(J200="","",J200*F200*2)</f>
        <v/>
      </c>
      <c r="M200" s="6" t="n"/>
      <c r="N200" s="6" t="n"/>
      <c r="O200" s="6">
        <f>IF(K200="","",MAX(0,K200+L200-N(M200))+N(N200))</f>
        <v/>
      </c>
      <c r="P200" s="8">
        <f>IF(A200="","",0.3)</f>
        <v/>
      </c>
      <c r="Q200" s="6">
        <f>IF(O200="","",O200*P200)</f>
        <v/>
      </c>
      <c r="R200" s="6">
        <f>IF(O200="","",IF(E200="Vara Cível",O200*0.15,0))</f>
        <v/>
      </c>
      <c r="S200" s="6">
        <f>IF(O200="","",Q200+R200)</f>
        <v/>
      </c>
      <c r="T200">
        <f>IF(G200="","",IF(G200&lt;EDATE(TODAY(),-120),"⚠ mais de 10 anos — cortar janela",""))</f>
        <v/>
      </c>
    </row>
    <row r="201">
      <c r="F201" s="6" t="n"/>
      <c r="G201" s="7" t="n"/>
      <c r="H201" s="7" t="n"/>
      <c r="I201">
        <f>IF(OR(G201="",H201=""),"",IF(G201&gt;DATE(2021,3,31),0,DATEDIF(G201,MIN(H201,DATE(2021,3,31)),"m")+1))</f>
        <v/>
      </c>
      <c r="J201">
        <f>IF(OR(G201="",H201=""),"",IF(H201&lt;DATE(2021,4,1),0,DATEDIF(MAX(G201,DATE(2021,4,1)),H201,"m")+1))</f>
        <v/>
      </c>
      <c r="K201" s="6">
        <f>IF(I201="","",I201*F201)</f>
        <v/>
      </c>
      <c r="L201" s="6">
        <f>IF(J201="","",J201*F201*2)</f>
        <v/>
      </c>
      <c r="M201" s="6" t="n"/>
      <c r="N201" s="6" t="n"/>
      <c r="O201" s="6">
        <f>IF(K201="","",MAX(0,K201+L201-N(M201))+N(N201))</f>
        <v/>
      </c>
      <c r="P201" s="8">
        <f>IF(A201="","",0.3)</f>
        <v/>
      </c>
      <c r="Q201" s="6">
        <f>IF(O201="","",O201*P201)</f>
        <v/>
      </c>
      <c r="R201" s="6">
        <f>IF(O201="","",IF(E201="Vara Cível",O201*0.15,0))</f>
        <v/>
      </c>
      <c r="S201" s="6">
        <f>IF(O201="","",Q201+R201)</f>
        <v/>
      </c>
      <c r="T201">
        <f>IF(G201="","",IF(G201&lt;EDATE(TODAY(),-120),"⚠ mais de 10 anos — cortar janela",""))</f>
        <v/>
      </c>
    </row>
    <row r="202">
      <c r="F202" s="6" t="n"/>
      <c r="G202" s="7" t="n"/>
      <c r="H202" s="7" t="n"/>
      <c r="I202">
        <f>IF(OR(G202="",H202=""),"",IF(G202&gt;DATE(2021,3,31),0,DATEDIF(G202,MIN(H202,DATE(2021,3,31)),"m")+1))</f>
        <v/>
      </c>
      <c r="J202">
        <f>IF(OR(G202="",H202=""),"",IF(H202&lt;DATE(2021,4,1),0,DATEDIF(MAX(G202,DATE(2021,4,1)),H202,"m")+1))</f>
        <v/>
      </c>
      <c r="K202" s="6">
        <f>IF(I202="","",I202*F202)</f>
        <v/>
      </c>
      <c r="L202" s="6">
        <f>IF(J202="","",J202*F202*2)</f>
        <v/>
      </c>
      <c r="M202" s="6" t="n"/>
      <c r="N202" s="6" t="n"/>
      <c r="O202" s="6">
        <f>IF(K202="","",MAX(0,K202+L202-N(M202))+N(N202))</f>
        <v/>
      </c>
      <c r="P202" s="8">
        <f>IF(A202="","",0.3)</f>
        <v/>
      </c>
      <c r="Q202" s="6">
        <f>IF(O202="","",O202*P202)</f>
        <v/>
      </c>
      <c r="R202" s="6">
        <f>IF(O202="","",IF(E202="Vara Cível",O202*0.15,0))</f>
        <v/>
      </c>
      <c r="S202" s="6">
        <f>IF(O202="","",Q202+R202)</f>
        <v/>
      </c>
      <c r="T202">
        <f>IF(G202="","",IF(G202&lt;EDATE(TODAY(),-120),"⚠ mais de 10 anos — cortar janela",""))</f>
        <v/>
      </c>
    </row>
    <row r="203">
      <c r="F203" s="6" t="n"/>
      <c r="G203" s="7" t="n"/>
      <c r="H203" s="7" t="n"/>
      <c r="I203">
        <f>IF(OR(G203="",H203=""),"",IF(G203&gt;DATE(2021,3,31),0,DATEDIF(G203,MIN(H203,DATE(2021,3,31)),"m")+1))</f>
        <v/>
      </c>
      <c r="J203">
        <f>IF(OR(G203="",H203=""),"",IF(H203&lt;DATE(2021,4,1),0,DATEDIF(MAX(G203,DATE(2021,4,1)),H203,"m")+1))</f>
        <v/>
      </c>
      <c r="K203" s="6">
        <f>IF(I203="","",I203*F203)</f>
        <v/>
      </c>
      <c r="L203" s="6">
        <f>IF(J203="","",J203*F203*2)</f>
        <v/>
      </c>
      <c r="M203" s="6" t="n"/>
      <c r="N203" s="6" t="n"/>
      <c r="O203" s="6">
        <f>IF(K203="","",MAX(0,K203+L203-N(M203))+N(N203))</f>
        <v/>
      </c>
      <c r="P203" s="8">
        <f>IF(A203="","",0.3)</f>
        <v/>
      </c>
      <c r="Q203" s="6">
        <f>IF(O203="","",O203*P203)</f>
        <v/>
      </c>
      <c r="R203" s="6">
        <f>IF(O203="","",IF(E203="Vara Cível",O203*0.15,0))</f>
        <v/>
      </c>
      <c r="S203" s="6">
        <f>IF(O203="","",Q203+R203)</f>
        <v/>
      </c>
      <c r="T203">
        <f>IF(G203="","",IF(G203&lt;EDATE(TODAY(),-120),"⚠ mais de 10 anos — cortar janela",""))</f>
        <v/>
      </c>
    </row>
    <row r="204">
      <c r="F204" s="6" t="n"/>
      <c r="G204" s="7" t="n"/>
      <c r="H204" s="7" t="n"/>
      <c r="I204">
        <f>IF(OR(G204="",H204=""),"",IF(G204&gt;DATE(2021,3,31),0,DATEDIF(G204,MIN(H204,DATE(2021,3,31)),"m")+1))</f>
        <v/>
      </c>
      <c r="J204">
        <f>IF(OR(G204="",H204=""),"",IF(H204&lt;DATE(2021,4,1),0,DATEDIF(MAX(G204,DATE(2021,4,1)),H204,"m")+1))</f>
        <v/>
      </c>
      <c r="K204" s="6">
        <f>IF(I204="","",I204*F204)</f>
        <v/>
      </c>
      <c r="L204" s="6">
        <f>IF(J204="","",J204*F204*2)</f>
        <v/>
      </c>
      <c r="M204" s="6" t="n"/>
      <c r="N204" s="6" t="n"/>
      <c r="O204" s="6">
        <f>IF(K204="","",MAX(0,K204+L204-N(M204))+N(N204))</f>
        <v/>
      </c>
      <c r="P204" s="8">
        <f>IF(A204="","",0.3)</f>
        <v/>
      </c>
      <c r="Q204" s="6">
        <f>IF(O204="","",O204*P204)</f>
        <v/>
      </c>
      <c r="R204" s="6">
        <f>IF(O204="","",IF(E204="Vara Cível",O204*0.15,0))</f>
        <v/>
      </c>
      <c r="S204" s="6">
        <f>IF(O204="","",Q204+R204)</f>
        <v/>
      </c>
      <c r="T204">
        <f>IF(G204="","",IF(G204&lt;EDATE(TODAY(),-120),"⚠ mais de 10 anos — cortar janela",""))</f>
        <v/>
      </c>
    </row>
    <row r="205">
      <c r="F205" s="6" t="n"/>
      <c r="G205" s="7" t="n"/>
      <c r="H205" s="7" t="n"/>
      <c r="I205">
        <f>IF(OR(G205="",H205=""),"",IF(G205&gt;DATE(2021,3,31),0,DATEDIF(G205,MIN(H205,DATE(2021,3,31)),"m")+1))</f>
        <v/>
      </c>
      <c r="J205">
        <f>IF(OR(G205="",H205=""),"",IF(H205&lt;DATE(2021,4,1),0,DATEDIF(MAX(G205,DATE(2021,4,1)),H205,"m")+1))</f>
        <v/>
      </c>
      <c r="K205" s="6">
        <f>IF(I205="","",I205*F205)</f>
        <v/>
      </c>
      <c r="L205" s="6">
        <f>IF(J205="","",J205*F205*2)</f>
        <v/>
      </c>
      <c r="M205" s="6" t="n"/>
      <c r="N205" s="6" t="n"/>
      <c r="O205" s="6">
        <f>IF(K205="","",MAX(0,K205+L205-N(M205))+N(N205))</f>
        <v/>
      </c>
      <c r="P205" s="8">
        <f>IF(A205="","",0.3)</f>
        <v/>
      </c>
      <c r="Q205" s="6">
        <f>IF(O205="","",O205*P205)</f>
        <v/>
      </c>
      <c r="R205" s="6">
        <f>IF(O205="","",IF(E205="Vara Cível",O205*0.15,0))</f>
        <v/>
      </c>
      <c r="S205" s="6">
        <f>IF(O205="","",Q205+R205)</f>
        <v/>
      </c>
      <c r="T205">
        <f>IF(G205="","",IF(G205&lt;EDATE(TODAY(),-120),"⚠ mais de 10 anos — cortar janela",""))</f>
        <v/>
      </c>
    </row>
    <row r="206">
      <c r="F206" s="6" t="n"/>
      <c r="G206" s="7" t="n"/>
      <c r="H206" s="7" t="n"/>
      <c r="I206">
        <f>IF(OR(G206="",H206=""),"",IF(G206&gt;DATE(2021,3,31),0,DATEDIF(G206,MIN(H206,DATE(2021,3,31)),"m")+1))</f>
        <v/>
      </c>
      <c r="J206">
        <f>IF(OR(G206="",H206=""),"",IF(H206&lt;DATE(2021,4,1),0,DATEDIF(MAX(G206,DATE(2021,4,1)),H206,"m")+1))</f>
        <v/>
      </c>
      <c r="K206" s="6">
        <f>IF(I206="","",I206*F206)</f>
        <v/>
      </c>
      <c r="L206" s="6">
        <f>IF(J206="","",J206*F206*2)</f>
        <v/>
      </c>
      <c r="M206" s="6" t="n"/>
      <c r="N206" s="6" t="n"/>
      <c r="O206" s="6">
        <f>IF(K206="","",MAX(0,K206+L206-N(M206))+N(N206))</f>
        <v/>
      </c>
      <c r="P206" s="8">
        <f>IF(A206="","",0.3)</f>
        <v/>
      </c>
      <c r="Q206" s="6">
        <f>IF(O206="","",O206*P206)</f>
        <v/>
      </c>
      <c r="R206" s="6">
        <f>IF(O206="","",IF(E206="Vara Cível",O206*0.15,0))</f>
        <v/>
      </c>
      <c r="S206" s="6">
        <f>IF(O206="","",Q206+R206)</f>
        <v/>
      </c>
      <c r="T206">
        <f>IF(G206="","",IF(G206&lt;EDATE(TODAY(),-120),"⚠ mais de 10 anos — cortar janela",""))</f>
        <v/>
      </c>
    </row>
    <row r="207">
      <c r="F207" s="6" t="n"/>
      <c r="G207" s="7" t="n"/>
      <c r="H207" s="7" t="n"/>
      <c r="I207">
        <f>IF(OR(G207="",H207=""),"",IF(G207&gt;DATE(2021,3,31),0,DATEDIF(G207,MIN(H207,DATE(2021,3,31)),"m")+1))</f>
        <v/>
      </c>
      <c r="J207">
        <f>IF(OR(G207="",H207=""),"",IF(H207&lt;DATE(2021,4,1),0,DATEDIF(MAX(G207,DATE(2021,4,1)),H207,"m")+1))</f>
        <v/>
      </c>
      <c r="K207" s="6">
        <f>IF(I207="","",I207*F207)</f>
        <v/>
      </c>
      <c r="L207" s="6">
        <f>IF(J207="","",J207*F207*2)</f>
        <v/>
      </c>
      <c r="M207" s="6" t="n"/>
      <c r="N207" s="6" t="n"/>
      <c r="O207" s="6">
        <f>IF(K207="","",MAX(0,K207+L207-N(M207))+N(N207))</f>
        <v/>
      </c>
      <c r="P207" s="8">
        <f>IF(A207="","",0.3)</f>
        <v/>
      </c>
      <c r="Q207" s="6">
        <f>IF(O207="","",O207*P207)</f>
        <v/>
      </c>
      <c r="R207" s="6">
        <f>IF(O207="","",IF(E207="Vara Cível",O207*0.15,0))</f>
        <v/>
      </c>
      <c r="S207" s="6">
        <f>IF(O207="","",Q207+R207)</f>
        <v/>
      </c>
      <c r="T207">
        <f>IF(G207="","",IF(G207&lt;EDATE(TODAY(),-120),"⚠ mais de 10 anos — cortar janela",""))</f>
        <v/>
      </c>
    </row>
    <row r="208">
      <c r="F208" s="6" t="n"/>
      <c r="G208" s="7" t="n"/>
      <c r="H208" s="7" t="n"/>
      <c r="I208">
        <f>IF(OR(G208="",H208=""),"",IF(G208&gt;DATE(2021,3,31),0,DATEDIF(G208,MIN(H208,DATE(2021,3,31)),"m")+1))</f>
        <v/>
      </c>
      <c r="J208">
        <f>IF(OR(G208="",H208=""),"",IF(H208&lt;DATE(2021,4,1),0,DATEDIF(MAX(G208,DATE(2021,4,1)),H208,"m")+1))</f>
        <v/>
      </c>
      <c r="K208" s="6">
        <f>IF(I208="","",I208*F208)</f>
        <v/>
      </c>
      <c r="L208" s="6">
        <f>IF(J208="","",J208*F208*2)</f>
        <v/>
      </c>
      <c r="M208" s="6" t="n"/>
      <c r="N208" s="6" t="n"/>
      <c r="O208" s="6">
        <f>IF(K208="","",MAX(0,K208+L208-N(M208))+N(N208))</f>
        <v/>
      </c>
      <c r="P208" s="8">
        <f>IF(A208="","",0.3)</f>
        <v/>
      </c>
      <c r="Q208" s="6">
        <f>IF(O208="","",O208*P208)</f>
        <v/>
      </c>
      <c r="R208" s="6">
        <f>IF(O208="","",IF(E208="Vara Cível",O208*0.15,0))</f>
        <v/>
      </c>
      <c r="S208" s="6">
        <f>IF(O208="","",Q208+R208)</f>
        <v/>
      </c>
      <c r="T208">
        <f>IF(G208="","",IF(G208&lt;EDATE(TODAY(),-120),"⚠ mais de 10 anos — cortar janela",""))</f>
        <v/>
      </c>
    </row>
    <row r="209">
      <c r="F209" s="6" t="n"/>
      <c r="G209" s="7" t="n"/>
      <c r="H209" s="7" t="n"/>
      <c r="I209">
        <f>IF(OR(G209="",H209=""),"",IF(G209&gt;DATE(2021,3,31),0,DATEDIF(G209,MIN(H209,DATE(2021,3,31)),"m")+1))</f>
        <v/>
      </c>
      <c r="J209">
        <f>IF(OR(G209="",H209=""),"",IF(H209&lt;DATE(2021,4,1),0,DATEDIF(MAX(G209,DATE(2021,4,1)),H209,"m")+1))</f>
        <v/>
      </c>
      <c r="K209" s="6">
        <f>IF(I209="","",I209*F209)</f>
        <v/>
      </c>
      <c r="L209" s="6">
        <f>IF(J209="","",J209*F209*2)</f>
        <v/>
      </c>
      <c r="M209" s="6" t="n"/>
      <c r="N209" s="6" t="n"/>
      <c r="O209" s="6">
        <f>IF(K209="","",MAX(0,K209+L209-N(M209))+N(N209))</f>
        <v/>
      </c>
      <c r="P209" s="8">
        <f>IF(A209="","",0.3)</f>
        <v/>
      </c>
      <c r="Q209" s="6">
        <f>IF(O209="","",O209*P209)</f>
        <v/>
      </c>
      <c r="R209" s="6">
        <f>IF(O209="","",IF(E209="Vara Cível",O209*0.15,0))</f>
        <v/>
      </c>
      <c r="S209" s="6">
        <f>IF(O209="","",Q209+R209)</f>
        <v/>
      </c>
      <c r="T209">
        <f>IF(G209="","",IF(G209&lt;EDATE(TODAY(),-120),"⚠ mais de 10 anos — cortar janela",""))</f>
        <v/>
      </c>
    </row>
    <row r="210">
      <c r="F210" s="6" t="n"/>
      <c r="G210" s="7" t="n"/>
      <c r="H210" s="7" t="n"/>
      <c r="I210">
        <f>IF(OR(G210="",H210=""),"",IF(G210&gt;DATE(2021,3,31),0,DATEDIF(G210,MIN(H210,DATE(2021,3,31)),"m")+1))</f>
        <v/>
      </c>
      <c r="J210">
        <f>IF(OR(G210="",H210=""),"",IF(H210&lt;DATE(2021,4,1),0,DATEDIF(MAX(G210,DATE(2021,4,1)),H210,"m")+1))</f>
        <v/>
      </c>
      <c r="K210" s="6">
        <f>IF(I210="","",I210*F210)</f>
        <v/>
      </c>
      <c r="L210" s="6">
        <f>IF(J210="","",J210*F210*2)</f>
        <v/>
      </c>
      <c r="M210" s="6" t="n"/>
      <c r="N210" s="6" t="n"/>
      <c r="O210" s="6">
        <f>IF(K210="","",MAX(0,K210+L210-N(M210))+N(N210))</f>
        <v/>
      </c>
      <c r="P210" s="8">
        <f>IF(A210="","",0.3)</f>
        <v/>
      </c>
      <c r="Q210" s="6">
        <f>IF(O210="","",O210*P210)</f>
        <v/>
      </c>
      <c r="R210" s="6">
        <f>IF(O210="","",IF(E210="Vara Cível",O210*0.15,0))</f>
        <v/>
      </c>
      <c r="S210" s="6">
        <f>IF(O210="","",Q210+R210)</f>
        <v/>
      </c>
      <c r="T210">
        <f>IF(G210="","",IF(G210&lt;EDATE(TODAY(),-120),"⚠ mais de 10 anos — cortar janela",""))</f>
        <v/>
      </c>
    </row>
    <row r="211">
      <c r="F211" s="6" t="n"/>
      <c r="G211" s="7" t="n"/>
      <c r="H211" s="7" t="n"/>
      <c r="I211">
        <f>IF(OR(G211="",H211=""),"",IF(G211&gt;DATE(2021,3,31),0,DATEDIF(G211,MIN(H211,DATE(2021,3,31)),"m")+1))</f>
        <v/>
      </c>
      <c r="J211">
        <f>IF(OR(G211="",H211=""),"",IF(H211&lt;DATE(2021,4,1),0,DATEDIF(MAX(G211,DATE(2021,4,1)),H211,"m")+1))</f>
        <v/>
      </c>
      <c r="K211" s="6">
        <f>IF(I211="","",I211*F211)</f>
        <v/>
      </c>
      <c r="L211" s="6">
        <f>IF(J211="","",J211*F211*2)</f>
        <v/>
      </c>
      <c r="M211" s="6" t="n"/>
      <c r="N211" s="6" t="n"/>
      <c r="O211" s="6">
        <f>IF(K211="","",MAX(0,K211+L211-N(M211))+N(N211))</f>
        <v/>
      </c>
      <c r="P211" s="8">
        <f>IF(A211="","",0.3)</f>
        <v/>
      </c>
      <c r="Q211" s="6">
        <f>IF(O211="","",O211*P211)</f>
        <v/>
      </c>
      <c r="R211" s="6">
        <f>IF(O211="","",IF(E211="Vara Cível",O211*0.15,0))</f>
        <v/>
      </c>
      <c r="S211" s="6">
        <f>IF(O211="","",Q211+R211)</f>
        <v/>
      </c>
      <c r="T211">
        <f>IF(G211="","",IF(G211&lt;EDATE(TODAY(),-120),"⚠ mais de 10 anos — cortar janela",""))</f>
        <v/>
      </c>
    </row>
    <row r="212">
      <c r="F212" s="6" t="n"/>
      <c r="G212" s="7" t="n"/>
      <c r="H212" s="7" t="n"/>
      <c r="I212">
        <f>IF(OR(G212="",H212=""),"",IF(G212&gt;DATE(2021,3,31),0,DATEDIF(G212,MIN(H212,DATE(2021,3,31)),"m")+1))</f>
        <v/>
      </c>
      <c r="J212">
        <f>IF(OR(G212="",H212=""),"",IF(H212&lt;DATE(2021,4,1),0,DATEDIF(MAX(G212,DATE(2021,4,1)),H212,"m")+1))</f>
        <v/>
      </c>
      <c r="K212" s="6">
        <f>IF(I212="","",I212*F212)</f>
        <v/>
      </c>
      <c r="L212" s="6">
        <f>IF(J212="","",J212*F212*2)</f>
        <v/>
      </c>
      <c r="M212" s="6" t="n"/>
      <c r="N212" s="6" t="n"/>
      <c r="O212" s="6">
        <f>IF(K212="","",MAX(0,K212+L212-N(M212))+N(N212))</f>
        <v/>
      </c>
      <c r="P212" s="8">
        <f>IF(A212="","",0.3)</f>
        <v/>
      </c>
      <c r="Q212" s="6">
        <f>IF(O212="","",O212*P212)</f>
        <v/>
      </c>
      <c r="R212" s="6">
        <f>IF(O212="","",IF(E212="Vara Cível",O212*0.15,0))</f>
        <v/>
      </c>
      <c r="S212" s="6">
        <f>IF(O212="","",Q212+R212)</f>
        <v/>
      </c>
      <c r="T212">
        <f>IF(G212="","",IF(G212&lt;EDATE(TODAY(),-120),"⚠ mais de 10 anos — cortar janela",""))</f>
        <v/>
      </c>
    </row>
    <row r="213">
      <c r="F213" s="6" t="n"/>
      <c r="G213" s="7" t="n"/>
      <c r="H213" s="7" t="n"/>
      <c r="I213">
        <f>IF(OR(G213="",H213=""),"",IF(G213&gt;DATE(2021,3,31),0,DATEDIF(G213,MIN(H213,DATE(2021,3,31)),"m")+1))</f>
        <v/>
      </c>
      <c r="J213">
        <f>IF(OR(G213="",H213=""),"",IF(H213&lt;DATE(2021,4,1),0,DATEDIF(MAX(G213,DATE(2021,4,1)),H213,"m")+1))</f>
        <v/>
      </c>
      <c r="K213" s="6">
        <f>IF(I213="","",I213*F213)</f>
        <v/>
      </c>
      <c r="L213" s="6">
        <f>IF(J213="","",J213*F213*2)</f>
        <v/>
      </c>
      <c r="M213" s="6" t="n"/>
      <c r="N213" s="6" t="n"/>
      <c r="O213" s="6">
        <f>IF(K213="","",MAX(0,K213+L213-N(M213))+N(N213))</f>
        <v/>
      </c>
      <c r="P213" s="8">
        <f>IF(A213="","",0.3)</f>
        <v/>
      </c>
      <c r="Q213" s="6">
        <f>IF(O213="","",O213*P213)</f>
        <v/>
      </c>
      <c r="R213" s="6">
        <f>IF(O213="","",IF(E213="Vara Cível",O213*0.15,0))</f>
        <v/>
      </c>
      <c r="S213" s="6">
        <f>IF(O213="","",Q213+R213)</f>
        <v/>
      </c>
      <c r="T213">
        <f>IF(G213="","",IF(G213&lt;EDATE(TODAY(),-120),"⚠ mais de 10 anos — cortar janela",""))</f>
        <v/>
      </c>
    </row>
    <row r="214">
      <c r="F214" s="6" t="n"/>
      <c r="G214" s="7" t="n"/>
      <c r="H214" s="7" t="n"/>
      <c r="I214">
        <f>IF(OR(G214="",H214=""),"",IF(G214&gt;DATE(2021,3,31),0,DATEDIF(G214,MIN(H214,DATE(2021,3,31)),"m")+1))</f>
        <v/>
      </c>
      <c r="J214">
        <f>IF(OR(G214="",H214=""),"",IF(H214&lt;DATE(2021,4,1),0,DATEDIF(MAX(G214,DATE(2021,4,1)),H214,"m")+1))</f>
        <v/>
      </c>
      <c r="K214" s="6">
        <f>IF(I214="","",I214*F214)</f>
        <v/>
      </c>
      <c r="L214" s="6">
        <f>IF(J214="","",J214*F214*2)</f>
        <v/>
      </c>
      <c r="M214" s="6" t="n"/>
      <c r="N214" s="6" t="n"/>
      <c r="O214" s="6">
        <f>IF(K214="","",MAX(0,K214+L214-N(M214))+N(N214))</f>
        <v/>
      </c>
      <c r="P214" s="8">
        <f>IF(A214="","",0.3)</f>
        <v/>
      </c>
      <c r="Q214" s="6">
        <f>IF(O214="","",O214*P214)</f>
        <v/>
      </c>
      <c r="R214" s="6">
        <f>IF(O214="","",IF(E214="Vara Cível",O214*0.15,0))</f>
        <v/>
      </c>
      <c r="S214" s="6">
        <f>IF(O214="","",Q214+R214)</f>
        <v/>
      </c>
      <c r="T214">
        <f>IF(G214="","",IF(G214&lt;EDATE(TODAY(),-120),"⚠ mais de 10 anos — cortar janela",""))</f>
        <v/>
      </c>
    </row>
    <row r="215">
      <c r="F215" s="6" t="n"/>
      <c r="G215" s="7" t="n"/>
      <c r="H215" s="7" t="n"/>
      <c r="I215">
        <f>IF(OR(G215="",H215=""),"",IF(G215&gt;DATE(2021,3,31),0,DATEDIF(G215,MIN(H215,DATE(2021,3,31)),"m")+1))</f>
        <v/>
      </c>
      <c r="J215">
        <f>IF(OR(G215="",H215=""),"",IF(H215&lt;DATE(2021,4,1),0,DATEDIF(MAX(G215,DATE(2021,4,1)),H215,"m")+1))</f>
        <v/>
      </c>
      <c r="K215" s="6">
        <f>IF(I215="","",I215*F215)</f>
        <v/>
      </c>
      <c r="L215" s="6">
        <f>IF(J215="","",J215*F215*2)</f>
        <v/>
      </c>
      <c r="M215" s="6" t="n"/>
      <c r="N215" s="6" t="n"/>
      <c r="O215" s="6">
        <f>IF(K215="","",MAX(0,K215+L215-N(M215))+N(N215))</f>
        <v/>
      </c>
      <c r="P215" s="8">
        <f>IF(A215="","",0.3)</f>
        <v/>
      </c>
      <c r="Q215" s="6">
        <f>IF(O215="","",O215*P215)</f>
        <v/>
      </c>
      <c r="R215" s="6">
        <f>IF(O215="","",IF(E215="Vara Cível",O215*0.15,0))</f>
        <v/>
      </c>
      <c r="S215" s="6">
        <f>IF(O215="","",Q215+R215)</f>
        <v/>
      </c>
      <c r="T215">
        <f>IF(G215="","",IF(G215&lt;EDATE(TODAY(),-120),"⚠ mais de 10 anos — cortar janela",""))</f>
        <v/>
      </c>
    </row>
    <row r="216">
      <c r="F216" s="6" t="n"/>
      <c r="G216" s="7" t="n"/>
      <c r="H216" s="7" t="n"/>
      <c r="I216">
        <f>IF(OR(G216="",H216=""),"",IF(G216&gt;DATE(2021,3,31),0,DATEDIF(G216,MIN(H216,DATE(2021,3,31)),"m")+1))</f>
        <v/>
      </c>
      <c r="J216">
        <f>IF(OR(G216="",H216=""),"",IF(H216&lt;DATE(2021,4,1),0,DATEDIF(MAX(G216,DATE(2021,4,1)),H216,"m")+1))</f>
        <v/>
      </c>
      <c r="K216" s="6">
        <f>IF(I216="","",I216*F216)</f>
        <v/>
      </c>
      <c r="L216" s="6">
        <f>IF(J216="","",J216*F216*2)</f>
        <v/>
      </c>
      <c r="M216" s="6" t="n"/>
      <c r="N216" s="6" t="n"/>
      <c r="O216" s="6">
        <f>IF(K216="","",MAX(0,K216+L216-N(M216))+N(N216))</f>
        <v/>
      </c>
      <c r="P216" s="8">
        <f>IF(A216="","",0.3)</f>
        <v/>
      </c>
      <c r="Q216" s="6">
        <f>IF(O216="","",O216*P216)</f>
        <v/>
      </c>
      <c r="R216" s="6">
        <f>IF(O216="","",IF(E216="Vara Cível",O216*0.15,0))</f>
        <v/>
      </c>
      <c r="S216" s="6">
        <f>IF(O216="","",Q216+R216)</f>
        <v/>
      </c>
      <c r="T216">
        <f>IF(G216="","",IF(G216&lt;EDATE(TODAY(),-120),"⚠ mais de 10 anos — cortar janela",""))</f>
        <v/>
      </c>
    </row>
    <row r="217">
      <c r="F217" s="6" t="n"/>
      <c r="G217" s="7" t="n"/>
      <c r="H217" s="7" t="n"/>
      <c r="I217">
        <f>IF(OR(G217="",H217=""),"",IF(G217&gt;DATE(2021,3,31),0,DATEDIF(G217,MIN(H217,DATE(2021,3,31)),"m")+1))</f>
        <v/>
      </c>
      <c r="J217">
        <f>IF(OR(G217="",H217=""),"",IF(H217&lt;DATE(2021,4,1),0,DATEDIF(MAX(G217,DATE(2021,4,1)),H217,"m")+1))</f>
        <v/>
      </c>
      <c r="K217" s="6">
        <f>IF(I217="","",I217*F217)</f>
        <v/>
      </c>
      <c r="L217" s="6">
        <f>IF(J217="","",J217*F217*2)</f>
        <v/>
      </c>
      <c r="M217" s="6" t="n"/>
      <c r="N217" s="6" t="n"/>
      <c r="O217" s="6">
        <f>IF(K217="","",MAX(0,K217+L217-N(M217))+N(N217))</f>
        <v/>
      </c>
      <c r="P217" s="8">
        <f>IF(A217="","",0.3)</f>
        <v/>
      </c>
      <c r="Q217" s="6">
        <f>IF(O217="","",O217*P217)</f>
        <v/>
      </c>
      <c r="R217" s="6">
        <f>IF(O217="","",IF(E217="Vara Cível",O217*0.15,0))</f>
        <v/>
      </c>
      <c r="S217" s="6">
        <f>IF(O217="","",Q217+R217)</f>
        <v/>
      </c>
      <c r="T217">
        <f>IF(G217="","",IF(G217&lt;EDATE(TODAY(),-120),"⚠ mais de 10 anos — cortar janela",""))</f>
        <v/>
      </c>
    </row>
    <row r="218">
      <c r="F218" s="6" t="n"/>
      <c r="G218" s="7" t="n"/>
      <c r="H218" s="7" t="n"/>
      <c r="I218">
        <f>IF(OR(G218="",H218=""),"",IF(G218&gt;DATE(2021,3,31),0,DATEDIF(G218,MIN(H218,DATE(2021,3,31)),"m")+1))</f>
        <v/>
      </c>
      <c r="J218">
        <f>IF(OR(G218="",H218=""),"",IF(H218&lt;DATE(2021,4,1),0,DATEDIF(MAX(G218,DATE(2021,4,1)),H218,"m")+1))</f>
        <v/>
      </c>
      <c r="K218" s="6">
        <f>IF(I218="","",I218*F218)</f>
        <v/>
      </c>
      <c r="L218" s="6">
        <f>IF(J218="","",J218*F218*2)</f>
        <v/>
      </c>
      <c r="M218" s="6" t="n"/>
      <c r="N218" s="6" t="n"/>
      <c r="O218" s="6">
        <f>IF(K218="","",MAX(0,K218+L218-N(M218))+N(N218))</f>
        <v/>
      </c>
      <c r="P218" s="8">
        <f>IF(A218="","",0.3)</f>
        <v/>
      </c>
      <c r="Q218" s="6">
        <f>IF(O218="","",O218*P218)</f>
        <v/>
      </c>
      <c r="R218" s="6">
        <f>IF(O218="","",IF(E218="Vara Cível",O218*0.15,0))</f>
        <v/>
      </c>
      <c r="S218" s="6">
        <f>IF(O218="","",Q218+R218)</f>
        <v/>
      </c>
      <c r="T218">
        <f>IF(G218="","",IF(G218&lt;EDATE(TODAY(),-120),"⚠ mais de 10 anos — cortar janela",""))</f>
        <v/>
      </c>
    </row>
    <row r="219">
      <c r="F219" s="6" t="n"/>
      <c r="G219" s="7" t="n"/>
      <c r="H219" s="7" t="n"/>
      <c r="I219">
        <f>IF(OR(G219="",H219=""),"",IF(G219&gt;DATE(2021,3,31),0,DATEDIF(G219,MIN(H219,DATE(2021,3,31)),"m")+1))</f>
        <v/>
      </c>
      <c r="J219">
        <f>IF(OR(G219="",H219=""),"",IF(H219&lt;DATE(2021,4,1),0,DATEDIF(MAX(G219,DATE(2021,4,1)),H219,"m")+1))</f>
        <v/>
      </c>
      <c r="K219" s="6">
        <f>IF(I219="","",I219*F219)</f>
        <v/>
      </c>
      <c r="L219" s="6">
        <f>IF(J219="","",J219*F219*2)</f>
        <v/>
      </c>
      <c r="M219" s="6" t="n"/>
      <c r="N219" s="6" t="n"/>
      <c r="O219" s="6">
        <f>IF(K219="","",MAX(0,K219+L219-N(M219))+N(N219))</f>
        <v/>
      </c>
      <c r="P219" s="8">
        <f>IF(A219="","",0.3)</f>
        <v/>
      </c>
      <c r="Q219" s="6">
        <f>IF(O219="","",O219*P219)</f>
        <v/>
      </c>
      <c r="R219" s="6">
        <f>IF(O219="","",IF(E219="Vara Cível",O219*0.15,0))</f>
        <v/>
      </c>
      <c r="S219" s="6">
        <f>IF(O219="","",Q219+R219)</f>
        <v/>
      </c>
      <c r="T219">
        <f>IF(G219="","",IF(G219&lt;EDATE(TODAY(),-120),"⚠ mais de 10 anos — cortar janela",""))</f>
        <v/>
      </c>
    </row>
    <row r="220">
      <c r="F220" s="6" t="n"/>
      <c r="G220" s="7" t="n"/>
      <c r="H220" s="7" t="n"/>
      <c r="I220">
        <f>IF(OR(G220="",H220=""),"",IF(G220&gt;DATE(2021,3,31),0,DATEDIF(G220,MIN(H220,DATE(2021,3,31)),"m")+1))</f>
        <v/>
      </c>
      <c r="J220">
        <f>IF(OR(G220="",H220=""),"",IF(H220&lt;DATE(2021,4,1),0,DATEDIF(MAX(G220,DATE(2021,4,1)),H220,"m")+1))</f>
        <v/>
      </c>
      <c r="K220" s="6">
        <f>IF(I220="","",I220*F220)</f>
        <v/>
      </c>
      <c r="L220" s="6">
        <f>IF(J220="","",J220*F220*2)</f>
        <v/>
      </c>
      <c r="M220" s="6" t="n"/>
      <c r="N220" s="6" t="n"/>
      <c r="O220" s="6">
        <f>IF(K220="","",MAX(0,K220+L220-N(M220))+N(N220))</f>
        <v/>
      </c>
      <c r="P220" s="8">
        <f>IF(A220="","",0.3)</f>
        <v/>
      </c>
      <c r="Q220" s="6">
        <f>IF(O220="","",O220*P220)</f>
        <v/>
      </c>
      <c r="R220" s="6">
        <f>IF(O220="","",IF(E220="Vara Cível",O220*0.15,0))</f>
        <v/>
      </c>
      <c r="S220" s="6">
        <f>IF(O220="","",Q220+R220)</f>
        <v/>
      </c>
      <c r="T220">
        <f>IF(G220="","",IF(G220&lt;EDATE(TODAY(),-120),"⚠ mais de 10 anos — cortar janela",""))</f>
        <v/>
      </c>
    </row>
    <row r="221">
      <c r="F221" s="6" t="n"/>
      <c r="G221" s="7" t="n"/>
      <c r="H221" s="7" t="n"/>
      <c r="I221">
        <f>IF(OR(G221="",H221=""),"",IF(G221&gt;DATE(2021,3,31),0,DATEDIF(G221,MIN(H221,DATE(2021,3,31)),"m")+1))</f>
        <v/>
      </c>
      <c r="J221">
        <f>IF(OR(G221="",H221=""),"",IF(H221&lt;DATE(2021,4,1),0,DATEDIF(MAX(G221,DATE(2021,4,1)),H221,"m")+1))</f>
        <v/>
      </c>
      <c r="K221" s="6">
        <f>IF(I221="","",I221*F221)</f>
        <v/>
      </c>
      <c r="L221" s="6">
        <f>IF(J221="","",J221*F221*2)</f>
        <v/>
      </c>
      <c r="M221" s="6" t="n"/>
      <c r="N221" s="6" t="n"/>
      <c r="O221" s="6">
        <f>IF(K221="","",MAX(0,K221+L221-N(M221))+N(N221))</f>
        <v/>
      </c>
      <c r="P221" s="8">
        <f>IF(A221="","",0.3)</f>
        <v/>
      </c>
      <c r="Q221" s="6">
        <f>IF(O221="","",O221*P221)</f>
        <v/>
      </c>
      <c r="R221" s="6">
        <f>IF(O221="","",IF(E221="Vara Cível",O221*0.15,0))</f>
        <v/>
      </c>
      <c r="S221" s="6">
        <f>IF(O221="","",Q221+R221)</f>
        <v/>
      </c>
      <c r="T221">
        <f>IF(G221="","",IF(G221&lt;EDATE(TODAY(),-120),"⚠ mais de 10 anos — cortar janela",""))</f>
        <v/>
      </c>
    </row>
    <row r="222">
      <c r="F222" s="6" t="n"/>
      <c r="G222" s="7" t="n"/>
      <c r="H222" s="7" t="n"/>
      <c r="I222">
        <f>IF(OR(G222="",H222=""),"",IF(G222&gt;DATE(2021,3,31),0,DATEDIF(G222,MIN(H222,DATE(2021,3,31)),"m")+1))</f>
        <v/>
      </c>
      <c r="J222">
        <f>IF(OR(G222="",H222=""),"",IF(H222&lt;DATE(2021,4,1),0,DATEDIF(MAX(G222,DATE(2021,4,1)),H222,"m")+1))</f>
        <v/>
      </c>
      <c r="K222" s="6">
        <f>IF(I222="","",I222*F222)</f>
        <v/>
      </c>
      <c r="L222" s="6">
        <f>IF(J222="","",J222*F222*2)</f>
        <v/>
      </c>
      <c r="M222" s="6" t="n"/>
      <c r="N222" s="6" t="n"/>
      <c r="O222" s="6">
        <f>IF(K222="","",MAX(0,K222+L222-N(M222))+N(N222))</f>
        <v/>
      </c>
      <c r="P222" s="8">
        <f>IF(A222="","",0.3)</f>
        <v/>
      </c>
      <c r="Q222" s="6">
        <f>IF(O222="","",O222*P222)</f>
        <v/>
      </c>
      <c r="R222" s="6">
        <f>IF(O222="","",IF(E222="Vara Cível",O222*0.15,0))</f>
        <v/>
      </c>
      <c r="S222" s="6">
        <f>IF(O222="","",Q222+R222)</f>
        <v/>
      </c>
      <c r="T222">
        <f>IF(G222="","",IF(G222&lt;EDATE(TODAY(),-120),"⚠ mais de 10 anos — cortar janela",""))</f>
        <v/>
      </c>
    </row>
    <row r="223">
      <c r="F223" s="6" t="n"/>
      <c r="G223" s="7" t="n"/>
      <c r="H223" s="7" t="n"/>
      <c r="I223">
        <f>IF(OR(G223="",H223=""),"",IF(G223&gt;DATE(2021,3,31),0,DATEDIF(G223,MIN(H223,DATE(2021,3,31)),"m")+1))</f>
        <v/>
      </c>
      <c r="J223">
        <f>IF(OR(G223="",H223=""),"",IF(H223&lt;DATE(2021,4,1),0,DATEDIF(MAX(G223,DATE(2021,4,1)),H223,"m")+1))</f>
        <v/>
      </c>
      <c r="K223" s="6">
        <f>IF(I223="","",I223*F223)</f>
        <v/>
      </c>
      <c r="L223" s="6">
        <f>IF(J223="","",J223*F223*2)</f>
        <v/>
      </c>
      <c r="M223" s="6" t="n"/>
      <c r="N223" s="6" t="n"/>
      <c r="O223" s="6">
        <f>IF(K223="","",MAX(0,K223+L223-N(M223))+N(N223))</f>
        <v/>
      </c>
      <c r="P223" s="8">
        <f>IF(A223="","",0.3)</f>
        <v/>
      </c>
      <c r="Q223" s="6">
        <f>IF(O223="","",O223*P223)</f>
        <v/>
      </c>
      <c r="R223" s="6">
        <f>IF(O223="","",IF(E223="Vara Cível",O223*0.15,0))</f>
        <v/>
      </c>
      <c r="S223" s="6">
        <f>IF(O223="","",Q223+R223)</f>
        <v/>
      </c>
      <c r="T223">
        <f>IF(G223="","",IF(G223&lt;EDATE(TODAY(),-120),"⚠ mais de 10 anos — cortar janela",""))</f>
        <v/>
      </c>
    </row>
    <row r="224">
      <c r="F224" s="6" t="n"/>
      <c r="G224" s="7" t="n"/>
      <c r="H224" s="7" t="n"/>
      <c r="I224">
        <f>IF(OR(G224="",H224=""),"",IF(G224&gt;DATE(2021,3,31),0,DATEDIF(G224,MIN(H224,DATE(2021,3,31)),"m")+1))</f>
        <v/>
      </c>
      <c r="J224">
        <f>IF(OR(G224="",H224=""),"",IF(H224&lt;DATE(2021,4,1),0,DATEDIF(MAX(G224,DATE(2021,4,1)),H224,"m")+1))</f>
        <v/>
      </c>
      <c r="K224" s="6">
        <f>IF(I224="","",I224*F224)</f>
        <v/>
      </c>
      <c r="L224" s="6">
        <f>IF(J224="","",J224*F224*2)</f>
        <v/>
      </c>
      <c r="M224" s="6" t="n"/>
      <c r="N224" s="6" t="n"/>
      <c r="O224" s="6">
        <f>IF(K224="","",MAX(0,K224+L224-N(M224))+N(N224))</f>
        <v/>
      </c>
      <c r="P224" s="8">
        <f>IF(A224="","",0.3)</f>
        <v/>
      </c>
      <c r="Q224" s="6">
        <f>IF(O224="","",O224*P224)</f>
        <v/>
      </c>
      <c r="R224" s="6">
        <f>IF(O224="","",IF(E224="Vara Cível",O224*0.15,0))</f>
        <v/>
      </c>
      <c r="S224" s="6">
        <f>IF(O224="","",Q224+R224)</f>
        <v/>
      </c>
      <c r="T224">
        <f>IF(G224="","",IF(G224&lt;EDATE(TODAY(),-120),"⚠ mais de 10 anos — cortar janela",""))</f>
        <v/>
      </c>
    </row>
    <row r="225">
      <c r="F225" s="6" t="n"/>
      <c r="G225" s="7" t="n"/>
      <c r="H225" s="7" t="n"/>
      <c r="I225">
        <f>IF(OR(G225="",H225=""),"",IF(G225&gt;DATE(2021,3,31),0,DATEDIF(G225,MIN(H225,DATE(2021,3,31)),"m")+1))</f>
        <v/>
      </c>
      <c r="J225">
        <f>IF(OR(G225="",H225=""),"",IF(H225&lt;DATE(2021,4,1),0,DATEDIF(MAX(G225,DATE(2021,4,1)),H225,"m")+1))</f>
        <v/>
      </c>
      <c r="K225" s="6">
        <f>IF(I225="","",I225*F225)</f>
        <v/>
      </c>
      <c r="L225" s="6">
        <f>IF(J225="","",J225*F225*2)</f>
        <v/>
      </c>
      <c r="M225" s="6" t="n"/>
      <c r="N225" s="6" t="n"/>
      <c r="O225" s="6">
        <f>IF(K225="","",MAX(0,K225+L225-N(M225))+N(N225))</f>
        <v/>
      </c>
      <c r="P225" s="8">
        <f>IF(A225="","",0.3)</f>
        <v/>
      </c>
      <c r="Q225" s="6">
        <f>IF(O225="","",O225*P225)</f>
        <v/>
      </c>
      <c r="R225" s="6">
        <f>IF(O225="","",IF(E225="Vara Cível",O225*0.15,0))</f>
        <v/>
      </c>
      <c r="S225" s="6">
        <f>IF(O225="","",Q225+R225)</f>
        <v/>
      </c>
      <c r="T225">
        <f>IF(G225="","",IF(G225&lt;EDATE(TODAY(),-120),"⚠ mais de 10 anos — cortar janela",""))</f>
        <v/>
      </c>
    </row>
    <row r="226">
      <c r="F226" s="6" t="n"/>
      <c r="G226" s="7" t="n"/>
      <c r="H226" s="7" t="n"/>
      <c r="I226">
        <f>IF(OR(G226="",H226=""),"",IF(G226&gt;DATE(2021,3,31),0,DATEDIF(G226,MIN(H226,DATE(2021,3,31)),"m")+1))</f>
        <v/>
      </c>
      <c r="J226">
        <f>IF(OR(G226="",H226=""),"",IF(H226&lt;DATE(2021,4,1),0,DATEDIF(MAX(G226,DATE(2021,4,1)),H226,"m")+1))</f>
        <v/>
      </c>
      <c r="K226" s="6">
        <f>IF(I226="","",I226*F226)</f>
        <v/>
      </c>
      <c r="L226" s="6">
        <f>IF(J226="","",J226*F226*2)</f>
        <v/>
      </c>
      <c r="M226" s="6" t="n"/>
      <c r="N226" s="6" t="n"/>
      <c r="O226" s="6">
        <f>IF(K226="","",MAX(0,K226+L226-N(M226))+N(N226))</f>
        <v/>
      </c>
      <c r="P226" s="8">
        <f>IF(A226="","",0.3)</f>
        <v/>
      </c>
      <c r="Q226" s="6">
        <f>IF(O226="","",O226*P226)</f>
        <v/>
      </c>
      <c r="R226" s="6">
        <f>IF(O226="","",IF(E226="Vara Cível",O226*0.15,0))</f>
        <v/>
      </c>
      <c r="S226" s="6">
        <f>IF(O226="","",Q226+R226)</f>
        <v/>
      </c>
      <c r="T226">
        <f>IF(G226="","",IF(G226&lt;EDATE(TODAY(),-120),"⚠ mais de 10 anos — cortar janela",""))</f>
        <v/>
      </c>
    </row>
    <row r="227">
      <c r="F227" s="6" t="n"/>
      <c r="G227" s="7" t="n"/>
      <c r="H227" s="7" t="n"/>
      <c r="I227">
        <f>IF(OR(G227="",H227=""),"",IF(G227&gt;DATE(2021,3,31),0,DATEDIF(G227,MIN(H227,DATE(2021,3,31)),"m")+1))</f>
        <v/>
      </c>
      <c r="J227">
        <f>IF(OR(G227="",H227=""),"",IF(H227&lt;DATE(2021,4,1),0,DATEDIF(MAX(G227,DATE(2021,4,1)),H227,"m")+1))</f>
        <v/>
      </c>
      <c r="K227" s="6">
        <f>IF(I227="","",I227*F227)</f>
        <v/>
      </c>
      <c r="L227" s="6">
        <f>IF(J227="","",J227*F227*2)</f>
        <v/>
      </c>
      <c r="M227" s="6" t="n"/>
      <c r="N227" s="6" t="n"/>
      <c r="O227" s="6">
        <f>IF(K227="","",MAX(0,K227+L227-N(M227))+N(N227))</f>
        <v/>
      </c>
      <c r="P227" s="8">
        <f>IF(A227="","",0.3)</f>
        <v/>
      </c>
      <c r="Q227" s="6">
        <f>IF(O227="","",O227*P227)</f>
        <v/>
      </c>
      <c r="R227" s="6">
        <f>IF(O227="","",IF(E227="Vara Cível",O227*0.15,0))</f>
        <v/>
      </c>
      <c r="S227" s="6">
        <f>IF(O227="","",Q227+R227)</f>
        <v/>
      </c>
      <c r="T227">
        <f>IF(G227="","",IF(G227&lt;EDATE(TODAY(),-120),"⚠ mais de 10 anos — cortar janela",""))</f>
        <v/>
      </c>
    </row>
    <row r="228">
      <c r="F228" s="6" t="n"/>
      <c r="G228" s="7" t="n"/>
      <c r="H228" s="7" t="n"/>
      <c r="I228">
        <f>IF(OR(G228="",H228=""),"",IF(G228&gt;DATE(2021,3,31),0,DATEDIF(G228,MIN(H228,DATE(2021,3,31)),"m")+1))</f>
        <v/>
      </c>
      <c r="J228">
        <f>IF(OR(G228="",H228=""),"",IF(H228&lt;DATE(2021,4,1),0,DATEDIF(MAX(G228,DATE(2021,4,1)),H228,"m")+1))</f>
        <v/>
      </c>
      <c r="K228" s="6">
        <f>IF(I228="","",I228*F228)</f>
        <v/>
      </c>
      <c r="L228" s="6">
        <f>IF(J228="","",J228*F228*2)</f>
        <v/>
      </c>
      <c r="M228" s="6" t="n"/>
      <c r="N228" s="6" t="n"/>
      <c r="O228" s="6">
        <f>IF(K228="","",MAX(0,K228+L228-N(M228))+N(N228))</f>
        <v/>
      </c>
      <c r="P228" s="8">
        <f>IF(A228="","",0.3)</f>
        <v/>
      </c>
      <c r="Q228" s="6">
        <f>IF(O228="","",O228*P228)</f>
        <v/>
      </c>
      <c r="R228" s="6">
        <f>IF(O228="","",IF(E228="Vara Cível",O228*0.15,0))</f>
        <v/>
      </c>
      <c r="S228" s="6">
        <f>IF(O228="","",Q228+R228)</f>
        <v/>
      </c>
      <c r="T228">
        <f>IF(G228="","",IF(G228&lt;EDATE(TODAY(),-120),"⚠ mais de 10 anos — cortar janela",""))</f>
        <v/>
      </c>
    </row>
    <row r="229">
      <c r="F229" s="6" t="n"/>
      <c r="G229" s="7" t="n"/>
      <c r="H229" s="7" t="n"/>
      <c r="I229">
        <f>IF(OR(G229="",H229=""),"",IF(G229&gt;DATE(2021,3,31),0,DATEDIF(G229,MIN(H229,DATE(2021,3,31)),"m")+1))</f>
        <v/>
      </c>
      <c r="J229">
        <f>IF(OR(G229="",H229=""),"",IF(H229&lt;DATE(2021,4,1),0,DATEDIF(MAX(G229,DATE(2021,4,1)),H229,"m")+1))</f>
        <v/>
      </c>
      <c r="K229" s="6">
        <f>IF(I229="","",I229*F229)</f>
        <v/>
      </c>
      <c r="L229" s="6">
        <f>IF(J229="","",J229*F229*2)</f>
        <v/>
      </c>
      <c r="M229" s="6" t="n"/>
      <c r="N229" s="6" t="n"/>
      <c r="O229" s="6">
        <f>IF(K229="","",MAX(0,K229+L229-N(M229))+N(N229))</f>
        <v/>
      </c>
      <c r="P229" s="8">
        <f>IF(A229="","",0.3)</f>
        <v/>
      </c>
      <c r="Q229" s="6">
        <f>IF(O229="","",O229*P229)</f>
        <v/>
      </c>
      <c r="R229" s="6">
        <f>IF(O229="","",IF(E229="Vara Cível",O229*0.15,0))</f>
        <v/>
      </c>
      <c r="S229" s="6">
        <f>IF(O229="","",Q229+R229)</f>
        <v/>
      </c>
      <c r="T229">
        <f>IF(G229="","",IF(G229&lt;EDATE(TODAY(),-120),"⚠ mais de 10 anos — cortar janela",""))</f>
        <v/>
      </c>
    </row>
    <row r="230">
      <c r="F230" s="6" t="n"/>
      <c r="G230" s="7" t="n"/>
      <c r="H230" s="7" t="n"/>
      <c r="I230">
        <f>IF(OR(G230="",H230=""),"",IF(G230&gt;DATE(2021,3,31),0,DATEDIF(G230,MIN(H230,DATE(2021,3,31)),"m")+1))</f>
        <v/>
      </c>
      <c r="J230">
        <f>IF(OR(G230="",H230=""),"",IF(H230&lt;DATE(2021,4,1),0,DATEDIF(MAX(G230,DATE(2021,4,1)),H230,"m")+1))</f>
        <v/>
      </c>
      <c r="K230" s="6">
        <f>IF(I230="","",I230*F230)</f>
        <v/>
      </c>
      <c r="L230" s="6">
        <f>IF(J230="","",J230*F230*2)</f>
        <v/>
      </c>
      <c r="M230" s="6" t="n"/>
      <c r="N230" s="6" t="n"/>
      <c r="O230" s="6">
        <f>IF(K230="","",MAX(0,K230+L230-N(M230))+N(N230))</f>
        <v/>
      </c>
      <c r="P230" s="8">
        <f>IF(A230="","",0.3)</f>
        <v/>
      </c>
      <c r="Q230" s="6">
        <f>IF(O230="","",O230*P230)</f>
        <v/>
      </c>
      <c r="R230" s="6">
        <f>IF(O230="","",IF(E230="Vara Cível",O230*0.15,0))</f>
        <v/>
      </c>
      <c r="S230" s="6">
        <f>IF(O230="","",Q230+R230)</f>
        <v/>
      </c>
      <c r="T230">
        <f>IF(G230="","",IF(G230&lt;EDATE(TODAY(),-120),"⚠ mais de 10 anos — cortar janela",""))</f>
        <v/>
      </c>
    </row>
    <row r="231">
      <c r="F231" s="6" t="n"/>
      <c r="G231" s="7" t="n"/>
      <c r="H231" s="7" t="n"/>
      <c r="I231">
        <f>IF(OR(G231="",H231=""),"",IF(G231&gt;DATE(2021,3,31),0,DATEDIF(G231,MIN(H231,DATE(2021,3,31)),"m")+1))</f>
        <v/>
      </c>
      <c r="J231">
        <f>IF(OR(G231="",H231=""),"",IF(H231&lt;DATE(2021,4,1),0,DATEDIF(MAX(G231,DATE(2021,4,1)),H231,"m")+1))</f>
        <v/>
      </c>
      <c r="K231" s="6">
        <f>IF(I231="","",I231*F231)</f>
        <v/>
      </c>
      <c r="L231" s="6">
        <f>IF(J231="","",J231*F231*2)</f>
        <v/>
      </c>
      <c r="M231" s="6" t="n"/>
      <c r="N231" s="6" t="n"/>
      <c r="O231" s="6">
        <f>IF(K231="","",MAX(0,K231+L231-N(M231))+N(N231))</f>
        <v/>
      </c>
      <c r="P231" s="8">
        <f>IF(A231="","",0.3)</f>
        <v/>
      </c>
      <c r="Q231" s="6">
        <f>IF(O231="","",O231*P231)</f>
        <v/>
      </c>
      <c r="R231" s="6">
        <f>IF(O231="","",IF(E231="Vara Cível",O231*0.15,0))</f>
        <v/>
      </c>
      <c r="S231" s="6">
        <f>IF(O231="","",Q231+R231)</f>
        <v/>
      </c>
      <c r="T231">
        <f>IF(G231="","",IF(G231&lt;EDATE(TODAY(),-120),"⚠ mais de 10 anos — cortar janela",""))</f>
        <v/>
      </c>
    </row>
    <row r="232">
      <c r="F232" s="6" t="n"/>
      <c r="G232" s="7" t="n"/>
      <c r="H232" s="7" t="n"/>
      <c r="I232">
        <f>IF(OR(G232="",H232=""),"",IF(G232&gt;DATE(2021,3,31),0,DATEDIF(G232,MIN(H232,DATE(2021,3,31)),"m")+1))</f>
        <v/>
      </c>
      <c r="J232">
        <f>IF(OR(G232="",H232=""),"",IF(H232&lt;DATE(2021,4,1),0,DATEDIF(MAX(G232,DATE(2021,4,1)),H232,"m")+1))</f>
        <v/>
      </c>
      <c r="K232" s="6">
        <f>IF(I232="","",I232*F232)</f>
        <v/>
      </c>
      <c r="L232" s="6">
        <f>IF(J232="","",J232*F232*2)</f>
        <v/>
      </c>
      <c r="M232" s="6" t="n"/>
      <c r="N232" s="6" t="n"/>
      <c r="O232" s="6">
        <f>IF(K232="","",MAX(0,K232+L232-N(M232))+N(N232))</f>
        <v/>
      </c>
      <c r="P232" s="8">
        <f>IF(A232="","",0.3)</f>
        <v/>
      </c>
      <c r="Q232" s="6">
        <f>IF(O232="","",O232*P232)</f>
        <v/>
      </c>
      <c r="R232" s="6">
        <f>IF(O232="","",IF(E232="Vara Cível",O232*0.15,0))</f>
        <v/>
      </c>
      <c r="S232" s="6">
        <f>IF(O232="","",Q232+R232)</f>
        <v/>
      </c>
      <c r="T232">
        <f>IF(G232="","",IF(G232&lt;EDATE(TODAY(),-120),"⚠ mais de 10 anos — cortar janela",""))</f>
        <v/>
      </c>
    </row>
    <row r="233">
      <c r="F233" s="6" t="n"/>
      <c r="G233" s="7" t="n"/>
      <c r="H233" s="7" t="n"/>
      <c r="I233">
        <f>IF(OR(G233="",H233=""),"",IF(G233&gt;DATE(2021,3,31),0,DATEDIF(G233,MIN(H233,DATE(2021,3,31)),"m")+1))</f>
        <v/>
      </c>
      <c r="J233">
        <f>IF(OR(G233="",H233=""),"",IF(H233&lt;DATE(2021,4,1),0,DATEDIF(MAX(G233,DATE(2021,4,1)),H233,"m")+1))</f>
        <v/>
      </c>
      <c r="K233" s="6">
        <f>IF(I233="","",I233*F233)</f>
        <v/>
      </c>
      <c r="L233" s="6">
        <f>IF(J233="","",J233*F233*2)</f>
        <v/>
      </c>
      <c r="M233" s="6" t="n"/>
      <c r="N233" s="6" t="n"/>
      <c r="O233" s="6">
        <f>IF(K233="","",MAX(0,K233+L233-N(M233))+N(N233))</f>
        <v/>
      </c>
      <c r="P233" s="8">
        <f>IF(A233="","",0.3)</f>
        <v/>
      </c>
      <c r="Q233" s="6">
        <f>IF(O233="","",O233*P233)</f>
        <v/>
      </c>
      <c r="R233" s="6">
        <f>IF(O233="","",IF(E233="Vara Cível",O233*0.15,0))</f>
        <v/>
      </c>
      <c r="S233" s="6">
        <f>IF(O233="","",Q233+R233)</f>
        <v/>
      </c>
      <c r="T233">
        <f>IF(G233="","",IF(G233&lt;EDATE(TODAY(),-120),"⚠ mais de 10 anos — cortar janela",""))</f>
        <v/>
      </c>
    </row>
    <row r="234">
      <c r="F234" s="6" t="n"/>
      <c r="G234" s="7" t="n"/>
      <c r="H234" s="7" t="n"/>
      <c r="I234">
        <f>IF(OR(G234="",H234=""),"",IF(G234&gt;DATE(2021,3,31),0,DATEDIF(G234,MIN(H234,DATE(2021,3,31)),"m")+1))</f>
        <v/>
      </c>
      <c r="J234">
        <f>IF(OR(G234="",H234=""),"",IF(H234&lt;DATE(2021,4,1),0,DATEDIF(MAX(G234,DATE(2021,4,1)),H234,"m")+1))</f>
        <v/>
      </c>
      <c r="K234" s="6">
        <f>IF(I234="","",I234*F234)</f>
        <v/>
      </c>
      <c r="L234" s="6">
        <f>IF(J234="","",J234*F234*2)</f>
        <v/>
      </c>
      <c r="M234" s="6" t="n"/>
      <c r="N234" s="6" t="n"/>
      <c r="O234" s="6">
        <f>IF(K234="","",MAX(0,K234+L234-N(M234))+N(N234))</f>
        <v/>
      </c>
      <c r="P234" s="8">
        <f>IF(A234="","",0.3)</f>
        <v/>
      </c>
      <c r="Q234" s="6">
        <f>IF(O234="","",O234*P234)</f>
        <v/>
      </c>
      <c r="R234" s="6">
        <f>IF(O234="","",IF(E234="Vara Cível",O234*0.15,0))</f>
        <v/>
      </c>
      <c r="S234" s="6">
        <f>IF(O234="","",Q234+R234)</f>
        <v/>
      </c>
      <c r="T234">
        <f>IF(G234="","",IF(G234&lt;EDATE(TODAY(),-120),"⚠ mais de 10 anos — cortar janela",""))</f>
        <v/>
      </c>
    </row>
    <row r="235">
      <c r="F235" s="6" t="n"/>
      <c r="G235" s="7" t="n"/>
      <c r="H235" s="7" t="n"/>
      <c r="I235">
        <f>IF(OR(G235="",H235=""),"",IF(G235&gt;DATE(2021,3,31),0,DATEDIF(G235,MIN(H235,DATE(2021,3,31)),"m")+1))</f>
        <v/>
      </c>
      <c r="J235">
        <f>IF(OR(G235="",H235=""),"",IF(H235&lt;DATE(2021,4,1),0,DATEDIF(MAX(G235,DATE(2021,4,1)),H235,"m")+1))</f>
        <v/>
      </c>
      <c r="K235" s="6">
        <f>IF(I235="","",I235*F235)</f>
        <v/>
      </c>
      <c r="L235" s="6">
        <f>IF(J235="","",J235*F235*2)</f>
        <v/>
      </c>
      <c r="M235" s="6" t="n"/>
      <c r="N235" s="6" t="n"/>
      <c r="O235" s="6">
        <f>IF(K235="","",MAX(0,K235+L235-N(M235))+N(N235))</f>
        <v/>
      </c>
      <c r="P235" s="8">
        <f>IF(A235="","",0.3)</f>
        <v/>
      </c>
      <c r="Q235" s="6">
        <f>IF(O235="","",O235*P235)</f>
        <v/>
      </c>
      <c r="R235" s="6">
        <f>IF(O235="","",IF(E235="Vara Cível",O235*0.15,0))</f>
        <v/>
      </c>
      <c r="S235" s="6">
        <f>IF(O235="","",Q235+R235)</f>
        <v/>
      </c>
      <c r="T235">
        <f>IF(G235="","",IF(G235&lt;EDATE(TODAY(),-120),"⚠ mais de 10 anos — cortar janela",""))</f>
        <v/>
      </c>
    </row>
    <row r="236">
      <c r="F236" s="6" t="n"/>
      <c r="G236" s="7" t="n"/>
      <c r="H236" s="7" t="n"/>
      <c r="I236">
        <f>IF(OR(G236="",H236=""),"",IF(G236&gt;DATE(2021,3,31),0,DATEDIF(G236,MIN(H236,DATE(2021,3,31)),"m")+1))</f>
        <v/>
      </c>
      <c r="J236">
        <f>IF(OR(G236="",H236=""),"",IF(H236&lt;DATE(2021,4,1),0,DATEDIF(MAX(G236,DATE(2021,4,1)),H236,"m")+1))</f>
        <v/>
      </c>
      <c r="K236" s="6">
        <f>IF(I236="","",I236*F236)</f>
        <v/>
      </c>
      <c r="L236" s="6">
        <f>IF(J236="","",J236*F236*2)</f>
        <v/>
      </c>
      <c r="M236" s="6" t="n"/>
      <c r="N236" s="6" t="n"/>
      <c r="O236" s="6">
        <f>IF(K236="","",MAX(0,K236+L236-N(M236))+N(N236))</f>
        <v/>
      </c>
      <c r="P236" s="8">
        <f>IF(A236="","",0.3)</f>
        <v/>
      </c>
      <c r="Q236" s="6">
        <f>IF(O236="","",O236*P236)</f>
        <v/>
      </c>
      <c r="R236" s="6">
        <f>IF(O236="","",IF(E236="Vara Cível",O236*0.15,0))</f>
        <v/>
      </c>
      <c r="S236" s="6">
        <f>IF(O236="","",Q236+R236)</f>
        <v/>
      </c>
      <c r="T236">
        <f>IF(G236="","",IF(G236&lt;EDATE(TODAY(),-120),"⚠ mais de 10 anos — cortar janela",""))</f>
        <v/>
      </c>
    </row>
    <row r="237">
      <c r="F237" s="6" t="n"/>
      <c r="G237" s="7" t="n"/>
      <c r="H237" s="7" t="n"/>
      <c r="I237">
        <f>IF(OR(G237="",H237=""),"",IF(G237&gt;DATE(2021,3,31),0,DATEDIF(G237,MIN(H237,DATE(2021,3,31)),"m")+1))</f>
        <v/>
      </c>
      <c r="J237">
        <f>IF(OR(G237="",H237=""),"",IF(H237&lt;DATE(2021,4,1),0,DATEDIF(MAX(G237,DATE(2021,4,1)),H237,"m")+1))</f>
        <v/>
      </c>
      <c r="K237" s="6">
        <f>IF(I237="","",I237*F237)</f>
        <v/>
      </c>
      <c r="L237" s="6">
        <f>IF(J237="","",J237*F237*2)</f>
        <v/>
      </c>
      <c r="M237" s="6" t="n"/>
      <c r="N237" s="6" t="n"/>
      <c r="O237" s="6">
        <f>IF(K237="","",MAX(0,K237+L237-N(M237))+N(N237))</f>
        <v/>
      </c>
      <c r="P237" s="8">
        <f>IF(A237="","",0.3)</f>
        <v/>
      </c>
      <c r="Q237" s="6">
        <f>IF(O237="","",O237*P237)</f>
        <v/>
      </c>
      <c r="R237" s="6">
        <f>IF(O237="","",IF(E237="Vara Cível",O237*0.15,0))</f>
        <v/>
      </c>
      <c r="S237" s="6">
        <f>IF(O237="","",Q237+R237)</f>
        <v/>
      </c>
      <c r="T237">
        <f>IF(G237="","",IF(G237&lt;EDATE(TODAY(),-120),"⚠ mais de 10 anos — cortar janela",""))</f>
        <v/>
      </c>
    </row>
    <row r="238">
      <c r="F238" s="6" t="n"/>
      <c r="G238" s="7" t="n"/>
      <c r="H238" s="7" t="n"/>
      <c r="I238">
        <f>IF(OR(G238="",H238=""),"",IF(G238&gt;DATE(2021,3,31),0,DATEDIF(G238,MIN(H238,DATE(2021,3,31)),"m")+1))</f>
        <v/>
      </c>
      <c r="J238">
        <f>IF(OR(G238="",H238=""),"",IF(H238&lt;DATE(2021,4,1),0,DATEDIF(MAX(G238,DATE(2021,4,1)),H238,"m")+1))</f>
        <v/>
      </c>
      <c r="K238" s="6">
        <f>IF(I238="","",I238*F238)</f>
        <v/>
      </c>
      <c r="L238" s="6">
        <f>IF(J238="","",J238*F238*2)</f>
        <v/>
      </c>
      <c r="M238" s="6" t="n"/>
      <c r="N238" s="6" t="n"/>
      <c r="O238" s="6">
        <f>IF(K238="","",MAX(0,K238+L238-N(M238))+N(N238))</f>
        <v/>
      </c>
      <c r="P238" s="8">
        <f>IF(A238="","",0.3)</f>
        <v/>
      </c>
      <c r="Q238" s="6">
        <f>IF(O238="","",O238*P238)</f>
        <v/>
      </c>
      <c r="R238" s="6">
        <f>IF(O238="","",IF(E238="Vara Cível",O238*0.15,0))</f>
        <v/>
      </c>
      <c r="S238" s="6">
        <f>IF(O238="","",Q238+R238)</f>
        <v/>
      </c>
      <c r="T238">
        <f>IF(G238="","",IF(G238&lt;EDATE(TODAY(),-120),"⚠ mais de 10 anos — cortar janela",""))</f>
        <v/>
      </c>
    </row>
    <row r="239">
      <c r="F239" s="6" t="n"/>
      <c r="G239" s="7" t="n"/>
      <c r="H239" s="7" t="n"/>
      <c r="I239">
        <f>IF(OR(G239="",H239=""),"",IF(G239&gt;DATE(2021,3,31),0,DATEDIF(G239,MIN(H239,DATE(2021,3,31)),"m")+1))</f>
        <v/>
      </c>
      <c r="J239">
        <f>IF(OR(G239="",H239=""),"",IF(H239&lt;DATE(2021,4,1),0,DATEDIF(MAX(G239,DATE(2021,4,1)),H239,"m")+1))</f>
        <v/>
      </c>
      <c r="K239" s="6">
        <f>IF(I239="","",I239*F239)</f>
        <v/>
      </c>
      <c r="L239" s="6">
        <f>IF(J239="","",J239*F239*2)</f>
        <v/>
      </c>
      <c r="M239" s="6" t="n"/>
      <c r="N239" s="6" t="n"/>
      <c r="O239" s="6">
        <f>IF(K239="","",MAX(0,K239+L239-N(M239))+N(N239))</f>
        <v/>
      </c>
      <c r="P239" s="8">
        <f>IF(A239="","",0.3)</f>
        <v/>
      </c>
      <c r="Q239" s="6">
        <f>IF(O239="","",O239*P239)</f>
        <v/>
      </c>
      <c r="R239" s="6">
        <f>IF(O239="","",IF(E239="Vara Cível",O239*0.15,0))</f>
        <v/>
      </c>
      <c r="S239" s="6">
        <f>IF(O239="","",Q239+R239)</f>
        <v/>
      </c>
      <c r="T239">
        <f>IF(G239="","",IF(G239&lt;EDATE(TODAY(),-120),"⚠ mais de 10 anos — cortar janela",""))</f>
        <v/>
      </c>
    </row>
    <row r="240">
      <c r="F240" s="6" t="n"/>
      <c r="G240" s="7" t="n"/>
      <c r="H240" s="7" t="n"/>
      <c r="I240">
        <f>IF(OR(G240="",H240=""),"",IF(G240&gt;DATE(2021,3,31),0,DATEDIF(G240,MIN(H240,DATE(2021,3,31)),"m")+1))</f>
        <v/>
      </c>
      <c r="J240">
        <f>IF(OR(G240="",H240=""),"",IF(H240&lt;DATE(2021,4,1),0,DATEDIF(MAX(G240,DATE(2021,4,1)),H240,"m")+1))</f>
        <v/>
      </c>
      <c r="K240" s="6">
        <f>IF(I240="","",I240*F240)</f>
        <v/>
      </c>
      <c r="L240" s="6">
        <f>IF(J240="","",J240*F240*2)</f>
        <v/>
      </c>
      <c r="M240" s="6" t="n"/>
      <c r="N240" s="6" t="n"/>
      <c r="O240" s="6">
        <f>IF(K240="","",MAX(0,K240+L240-N(M240))+N(N240))</f>
        <v/>
      </c>
      <c r="P240" s="8">
        <f>IF(A240="","",0.3)</f>
        <v/>
      </c>
      <c r="Q240" s="6">
        <f>IF(O240="","",O240*P240)</f>
        <v/>
      </c>
      <c r="R240" s="6">
        <f>IF(O240="","",IF(E240="Vara Cível",O240*0.15,0))</f>
        <v/>
      </c>
      <c r="S240" s="6">
        <f>IF(O240="","",Q240+R240)</f>
        <v/>
      </c>
      <c r="T240">
        <f>IF(G240="","",IF(G240&lt;EDATE(TODAY(),-120),"⚠ mais de 10 anos — cortar janela",""))</f>
        <v/>
      </c>
    </row>
    <row r="241">
      <c r="F241" s="6" t="n"/>
      <c r="G241" s="7" t="n"/>
      <c r="H241" s="7" t="n"/>
      <c r="I241">
        <f>IF(OR(G241="",H241=""),"",IF(G241&gt;DATE(2021,3,31),0,DATEDIF(G241,MIN(H241,DATE(2021,3,31)),"m")+1))</f>
        <v/>
      </c>
      <c r="J241">
        <f>IF(OR(G241="",H241=""),"",IF(H241&lt;DATE(2021,4,1),0,DATEDIF(MAX(G241,DATE(2021,4,1)),H241,"m")+1))</f>
        <v/>
      </c>
      <c r="K241" s="6">
        <f>IF(I241="","",I241*F241)</f>
        <v/>
      </c>
      <c r="L241" s="6">
        <f>IF(J241="","",J241*F241*2)</f>
        <v/>
      </c>
      <c r="M241" s="6" t="n"/>
      <c r="N241" s="6" t="n"/>
      <c r="O241" s="6">
        <f>IF(K241="","",MAX(0,K241+L241-N(M241))+N(N241))</f>
        <v/>
      </c>
      <c r="P241" s="8">
        <f>IF(A241="","",0.3)</f>
        <v/>
      </c>
      <c r="Q241" s="6">
        <f>IF(O241="","",O241*P241)</f>
        <v/>
      </c>
      <c r="R241" s="6">
        <f>IF(O241="","",IF(E241="Vara Cível",O241*0.15,0))</f>
        <v/>
      </c>
      <c r="S241" s="6">
        <f>IF(O241="","",Q241+R241)</f>
        <v/>
      </c>
      <c r="T241">
        <f>IF(G241="","",IF(G241&lt;EDATE(TODAY(),-120),"⚠ mais de 10 anos — cortar janela",""))</f>
        <v/>
      </c>
    </row>
    <row r="242">
      <c r="F242" s="6" t="n"/>
      <c r="G242" s="7" t="n"/>
      <c r="H242" s="7" t="n"/>
      <c r="I242">
        <f>IF(OR(G242="",H242=""),"",IF(G242&gt;DATE(2021,3,31),0,DATEDIF(G242,MIN(H242,DATE(2021,3,31)),"m")+1))</f>
        <v/>
      </c>
      <c r="J242">
        <f>IF(OR(G242="",H242=""),"",IF(H242&lt;DATE(2021,4,1),0,DATEDIF(MAX(G242,DATE(2021,4,1)),H242,"m")+1))</f>
        <v/>
      </c>
      <c r="K242" s="6">
        <f>IF(I242="","",I242*F242)</f>
        <v/>
      </c>
      <c r="L242" s="6">
        <f>IF(J242="","",J242*F242*2)</f>
        <v/>
      </c>
      <c r="M242" s="6" t="n"/>
      <c r="N242" s="6" t="n"/>
      <c r="O242" s="6">
        <f>IF(K242="","",MAX(0,K242+L242-N(M242))+N(N242))</f>
        <v/>
      </c>
      <c r="P242" s="8">
        <f>IF(A242="","",0.3)</f>
        <v/>
      </c>
      <c r="Q242" s="6">
        <f>IF(O242="","",O242*P242)</f>
        <v/>
      </c>
      <c r="R242" s="6">
        <f>IF(O242="","",IF(E242="Vara Cível",O242*0.15,0))</f>
        <v/>
      </c>
      <c r="S242" s="6">
        <f>IF(O242="","",Q242+R242)</f>
        <v/>
      </c>
      <c r="T242">
        <f>IF(G242="","",IF(G242&lt;EDATE(TODAY(),-120),"⚠ mais de 10 anos — cortar janela",""))</f>
        <v/>
      </c>
    </row>
    <row r="243">
      <c r="F243" s="6" t="n"/>
      <c r="G243" s="7" t="n"/>
      <c r="H243" s="7" t="n"/>
      <c r="I243">
        <f>IF(OR(G243="",H243=""),"",IF(G243&gt;DATE(2021,3,31),0,DATEDIF(G243,MIN(H243,DATE(2021,3,31)),"m")+1))</f>
        <v/>
      </c>
      <c r="J243">
        <f>IF(OR(G243="",H243=""),"",IF(H243&lt;DATE(2021,4,1),0,DATEDIF(MAX(G243,DATE(2021,4,1)),H243,"m")+1))</f>
        <v/>
      </c>
      <c r="K243" s="6">
        <f>IF(I243="","",I243*F243)</f>
        <v/>
      </c>
      <c r="L243" s="6">
        <f>IF(J243="","",J243*F243*2)</f>
        <v/>
      </c>
      <c r="M243" s="6" t="n"/>
      <c r="N243" s="6" t="n"/>
      <c r="O243" s="6">
        <f>IF(K243="","",MAX(0,K243+L243-N(M243))+N(N243))</f>
        <v/>
      </c>
      <c r="P243" s="8">
        <f>IF(A243="","",0.3)</f>
        <v/>
      </c>
      <c r="Q243" s="6">
        <f>IF(O243="","",O243*P243)</f>
        <v/>
      </c>
      <c r="R243" s="6">
        <f>IF(O243="","",IF(E243="Vara Cível",O243*0.15,0))</f>
        <v/>
      </c>
      <c r="S243" s="6">
        <f>IF(O243="","",Q243+R243)</f>
        <v/>
      </c>
      <c r="T243">
        <f>IF(G243="","",IF(G243&lt;EDATE(TODAY(),-120),"⚠ mais de 10 anos — cortar janela",""))</f>
        <v/>
      </c>
    </row>
    <row r="244">
      <c r="F244" s="6" t="n"/>
      <c r="G244" s="7" t="n"/>
      <c r="H244" s="7" t="n"/>
      <c r="I244">
        <f>IF(OR(G244="",H244=""),"",IF(G244&gt;DATE(2021,3,31),0,DATEDIF(G244,MIN(H244,DATE(2021,3,31)),"m")+1))</f>
        <v/>
      </c>
      <c r="J244">
        <f>IF(OR(G244="",H244=""),"",IF(H244&lt;DATE(2021,4,1),0,DATEDIF(MAX(G244,DATE(2021,4,1)),H244,"m")+1))</f>
        <v/>
      </c>
      <c r="K244" s="6">
        <f>IF(I244="","",I244*F244)</f>
        <v/>
      </c>
      <c r="L244" s="6">
        <f>IF(J244="","",J244*F244*2)</f>
        <v/>
      </c>
      <c r="M244" s="6" t="n"/>
      <c r="N244" s="6" t="n"/>
      <c r="O244" s="6">
        <f>IF(K244="","",MAX(0,K244+L244-N(M244))+N(N244))</f>
        <v/>
      </c>
      <c r="P244" s="8">
        <f>IF(A244="","",0.3)</f>
        <v/>
      </c>
      <c r="Q244" s="6">
        <f>IF(O244="","",O244*P244)</f>
        <v/>
      </c>
      <c r="R244" s="6">
        <f>IF(O244="","",IF(E244="Vara Cível",O244*0.15,0))</f>
        <v/>
      </c>
      <c r="S244" s="6">
        <f>IF(O244="","",Q244+R244)</f>
        <v/>
      </c>
      <c r="T244">
        <f>IF(G244="","",IF(G244&lt;EDATE(TODAY(),-120),"⚠ mais de 10 anos — cortar janela",""))</f>
        <v/>
      </c>
    </row>
    <row r="245">
      <c r="F245" s="6" t="n"/>
      <c r="G245" s="7" t="n"/>
      <c r="H245" s="7" t="n"/>
      <c r="I245">
        <f>IF(OR(G245="",H245=""),"",IF(G245&gt;DATE(2021,3,31),0,DATEDIF(G245,MIN(H245,DATE(2021,3,31)),"m")+1))</f>
        <v/>
      </c>
      <c r="J245">
        <f>IF(OR(G245="",H245=""),"",IF(H245&lt;DATE(2021,4,1),0,DATEDIF(MAX(G245,DATE(2021,4,1)),H245,"m")+1))</f>
        <v/>
      </c>
      <c r="K245" s="6">
        <f>IF(I245="","",I245*F245)</f>
        <v/>
      </c>
      <c r="L245" s="6">
        <f>IF(J245="","",J245*F245*2)</f>
        <v/>
      </c>
      <c r="M245" s="6" t="n"/>
      <c r="N245" s="6" t="n"/>
      <c r="O245" s="6">
        <f>IF(K245="","",MAX(0,K245+L245-N(M245))+N(N245))</f>
        <v/>
      </c>
      <c r="P245" s="8">
        <f>IF(A245="","",0.3)</f>
        <v/>
      </c>
      <c r="Q245" s="6">
        <f>IF(O245="","",O245*P245)</f>
        <v/>
      </c>
      <c r="R245" s="6">
        <f>IF(O245="","",IF(E245="Vara Cível",O245*0.15,0))</f>
        <v/>
      </c>
      <c r="S245" s="6">
        <f>IF(O245="","",Q245+R245)</f>
        <v/>
      </c>
      <c r="T245">
        <f>IF(G245="","",IF(G245&lt;EDATE(TODAY(),-120),"⚠ mais de 10 anos — cortar janela",""))</f>
        <v/>
      </c>
    </row>
    <row r="246">
      <c r="F246" s="6" t="n"/>
      <c r="G246" s="7" t="n"/>
      <c r="H246" s="7" t="n"/>
      <c r="I246">
        <f>IF(OR(G246="",H246=""),"",IF(G246&gt;DATE(2021,3,31),0,DATEDIF(G246,MIN(H246,DATE(2021,3,31)),"m")+1))</f>
        <v/>
      </c>
      <c r="J246">
        <f>IF(OR(G246="",H246=""),"",IF(H246&lt;DATE(2021,4,1),0,DATEDIF(MAX(G246,DATE(2021,4,1)),H246,"m")+1))</f>
        <v/>
      </c>
      <c r="K246" s="6">
        <f>IF(I246="","",I246*F246)</f>
        <v/>
      </c>
      <c r="L246" s="6">
        <f>IF(J246="","",J246*F246*2)</f>
        <v/>
      </c>
      <c r="M246" s="6" t="n"/>
      <c r="N246" s="6" t="n"/>
      <c r="O246" s="6">
        <f>IF(K246="","",MAX(0,K246+L246-N(M246))+N(N246))</f>
        <v/>
      </c>
      <c r="P246" s="8">
        <f>IF(A246="","",0.3)</f>
        <v/>
      </c>
      <c r="Q246" s="6">
        <f>IF(O246="","",O246*P246)</f>
        <v/>
      </c>
      <c r="R246" s="6">
        <f>IF(O246="","",IF(E246="Vara Cível",O246*0.15,0))</f>
        <v/>
      </c>
      <c r="S246" s="6">
        <f>IF(O246="","",Q246+R246)</f>
        <v/>
      </c>
      <c r="T246">
        <f>IF(G246="","",IF(G246&lt;EDATE(TODAY(),-120),"⚠ mais de 10 anos — cortar janela",""))</f>
        <v/>
      </c>
    </row>
    <row r="247">
      <c r="F247" s="6" t="n"/>
      <c r="G247" s="7" t="n"/>
      <c r="H247" s="7" t="n"/>
      <c r="I247">
        <f>IF(OR(G247="",H247=""),"",IF(G247&gt;DATE(2021,3,31),0,DATEDIF(G247,MIN(H247,DATE(2021,3,31)),"m")+1))</f>
        <v/>
      </c>
      <c r="J247">
        <f>IF(OR(G247="",H247=""),"",IF(H247&lt;DATE(2021,4,1),0,DATEDIF(MAX(G247,DATE(2021,4,1)),H247,"m")+1))</f>
        <v/>
      </c>
      <c r="K247" s="6">
        <f>IF(I247="","",I247*F247)</f>
        <v/>
      </c>
      <c r="L247" s="6">
        <f>IF(J247="","",J247*F247*2)</f>
        <v/>
      </c>
      <c r="M247" s="6" t="n"/>
      <c r="N247" s="6" t="n"/>
      <c r="O247" s="6">
        <f>IF(K247="","",MAX(0,K247+L247-N(M247))+N(N247))</f>
        <v/>
      </c>
      <c r="P247" s="8">
        <f>IF(A247="","",0.3)</f>
        <v/>
      </c>
      <c r="Q247" s="6">
        <f>IF(O247="","",O247*P247)</f>
        <v/>
      </c>
      <c r="R247" s="6">
        <f>IF(O247="","",IF(E247="Vara Cível",O247*0.15,0))</f>
        <v/>
      </c>
      <c r="S247" s="6">
        <f>IF(O247="","",Q247+R247)</f>
        <v/>
      </c>
      <c r="T247">
        <f>IF(G247="","",IF(G247&lt;EDATE(TODAY(),-120),"⚠ mais de 10 anos — cortar janela",""))</f>
        <v/>
      </c>
    </row>
    <row r="248">
      <c r="F248" s="6" t="n"/>
      <c r="G248" s="7" t="n"/>
      <c r="H248" s="7" t="n"/>
      <c r="I248">
        <f>IF(OR(G248="",H248=""),"",IF(G248&gt;DATE(2021,3,31),0,DATEDIF(G248,MIN(H248,DATE(2021,3,31)),"m")+1))</f>
        <v/>
      </c>
      <c r="J248">
        <f>IF(OR(G248="",H248=""),"",IF(H248&lt;DATE(2021,4,1),0,DATEDIF(MAX(G248,DATE(2021,4,1)),H248,"m")+1))</f>
        <v/>
      </c>
      <c r="K248" s="6">
        <f>IF(I248="","",I248*F248)</f>
        <v/>
      </c>
      <c r="L248" s="6">
        <f>IF(J248="","",J248*F248*2)</f>
        <v/>
      </c>
      <c r="M248" s="6" t="n"/>
      <c r="N248" s="6" t="n"/>
      <c r="O248" s="6">
        <f>IF(K248="","",MAX(0,K248+L248-N(M248))+N(N248))</f>
        <v/>
      </c>
      <c r="P248" s="8">
        <f>IF(A248="","",0.3)</f>
        <v/>
      </c>
      <c r="Q248" s="6">
        <f>IF(O248="","",O248*P248)</f>
        <v/>
      </c>
      <c r="R248" s="6">
        <f>IF(O248="","",IF(E248="Vara Cível",O248*0.15,0))</f>
        <v/>
      </c>
      <c r="S248" s="6">
        <f>IF(O248="","",Q248+R248)</f>
        <v/>
      </c>
      <c r="T248">
        <f>IF(G248="","",IF(G248&lt;EDATE(TODAY(),-120),"⚠ mais de 10 anos — cortar janela",""))</f>
        <v/>
      </c>
    </row>
    <row r="249">
      <c r="F249" s="6" t="n"/>
      <c r="G249" s="7" t="n"/>
      <c r="H249" s="7" t="n"/>
      <c r="I249">
        <f>IF(OR(G249="",H249=""),"",IF(G249&gt;DATE(2021,3,31),0,DATEDIF(G249,MIN(H249,DATE(2021,3,31)),"m")+1))</f>
        <v/>
      </c>
      <c r="J249">
        <f>IF(OR(G249="",H249=""),"",IF(H249&lt;DATE(2021,4,1),0,DATEDIF(MAX(G249,DATE(2021,4,1)),H249,"m")+1))</f>
        <v/>
      </c>
      <c r="K249" s="6">
        <f>IF(I249="","",I249*F249)</f>
        <v/>
      </c>
      <c r="L249" s="6">
        <f>IF(J249="","",J249*F249*2)</f>
        <v/>
      </c>
      <c r="M249" s="6" t="n"/>
      <c r="N249" s="6" t="n"/>
      <c r="O249" s="6">
        <f>IF(K249="","",MAX(0,K249+L249-N(M249))+N(N249))</f>
        <v/>
      </c>
      <c r="P249" s="8">
        <f>IF(A249="","",0.3)</f>
        <v/>
      </c>
      <c r="Q249" s="6">
        <f>IF(O249="","",O249*P249)</f>
        <v/>
      </c>
      <c r="R249" s="6">
        <f>IF(O249="","",IF(E249="Vara Cível",O249*0.15,0))</f>
        <v/>
      </c>
      <c r="S249" s="6">
        <f>IF(O249="","",Q249+R249)</f>
        <v/>
      </c>
      <c r="T249">
        <f>IF(G249="","",IF(G249&lt;EDATE(TODAY(),-120),"⚠ mais de 10 anos — cortar janela",""))</f>
        <v/>
      </c>
    </row>
    <row r="250">
      <c r="F250" s="6" t="n"/>
      <c r="G250" s="7" t="n"/>
      <c r="H250" s="7" t="n"/>
      <c r="I250">
        <f>IF(OR(G250="",H250=""),"",IF(G250&gt;DATE(2021,3,31),0,DATEDIF(G250,MIN(H250,DATE(2021,3,31)),"m")+1))</f>
        <v/>
      </c>
      <c r="J250">
        <f>IF(OR(G250="",H250=""),"",IF(H250&lt;DATE(2021,4,1),0,DATEDIF(MAX(G250,DATE(2021,4,1)),H250,"m")+1))</f>
        <v/>
      </c>
      <c r="K250" s="6">
        <f>IF(I250="","",I250*F250)</f>
        <v/>
      </c>
      <c r="L250" s="6">
        <f>IF(J250="","",J250*F250*2)</f>
        <v/>
      </c>
      <c r="M250" s="6" t="n"/>
      <c r="N250" s="6" t="n"/>
      <c r="O250" s="6">
        <f>IF(K250="","",MAX(0,K250+L250-N(M250))+N(N250))</f>
        <v/>
      </c>
      <c r="P250" s="8">
        <f>IF(A250="","",0.3)</f>
        <v/>
      </c>
      <c r="Q250" s="6">
        <f>IF(O250="","",O250*P250)</f>
        <v/>
      </c>
      <c r="R250" s="6">
        <f>IF(O250="","",IF(E250="Vara Cível",O250*0.15,0))</f>
        <v/>
      </c>
      <c r="S250" s="6">
        <f>IF(O250="","",Q250+R250)</f>
        <v/>
      </c>
      <c r="T250">
        <f>IF(G250="","",IF(G250&lt;EDATE(TODAY(),-120),"⚠ mais de 10 anos — cortar janela",""))</f>
        <v/>
      </c>
    </row>
    <row r="251">
      <c r="F251" s="6" t="n"/>
      <c r="G251" s="7" t="n"/>
      <c r="H251" s="7" t="n"/>
      <c r="I251">
        <f>IF(OR(G251="",H251=""),"",IF(G251&gt;DATE(2021,3,31),0,DATEDIF(G251,MIN(H251,DATE(2021,3,31)),"m")+1))</f>
        <v/>
      </c>
      <c r="J251">
        <f>IF(OR(G251="",H251=""),"",IF(H251&lt;DATE(2021,4,1),0,DATEDIF(MAX(G251,DATE(2021,4,1)),H251,"m")+1))</f>
        <v/>
      </c>
      <c r="K251" s="6">
        <f>IF(I251="","",I251*F251)</f>
        <v/>
      </c>
      <c r="L251" s="6">
        <f>IF(J251="","",J251*F251*2)</f>
        <v/>
      </c>
      <c r="M251" s="6" t="n"/>
      <c r="N251" s="6" t="n"/>
      <c r="O251" s="6">
        <f>IF(K251="","",MAX(0,K251+L251-N(M251))+N(N251))</f>
        <v/>
      </c>
      <c r="P251" s="8">
        <f>IF(A251="","",0.3)</f>
        <v/>
      </c>
      <c r="Q251" s="6">
        <f>IF(O251="","",O251*P251)</f>
        <v/>
      </c>
      <c r="R251" s="6">
        <f>IF(O251="","",IF(E251="Vara Cível",O251*0.15,0))</f>
        <v/>
      </c>
      <c r="S251" s="6">
        <f>IF(O251="","",Q251+R251)</f>
        <v/>
      </c>
      <c r="T251">
        <f>IF(G251="","",IF(G251&lt;EDATE(TODAY(),-120),"⚠ mais de 10 anos — cortar janela",""))</f>
        <v/>
      </c>
    </row>
    <row r="252">
      <c r="F252" s="6" t="n"/>
      <c r="G252" s="7" t="n"/>
      <c r="H252" s="7" t="n"/>
      <c r="I252">
        <f>IF(OR(G252="",H252=""),"",IF(G252&gt;DATE(2021,3,31),0,DATEDIF(G252,MIN(H252,DATE(2021,3,31)),"m")+1))</f>
        <v/>
      </c>
      <c r="J252">
        <f>IF(OR(G252="",H252=""),"",IF(H252&lt;DATE(2021,4,1),0,DATEDIF(MAX(G252,DATE(2021,4,1)),H252,"m")+1))</f>
        <v/>
      </c>
      <c r="K252" s="6">
        <f>IF(I252="","",I252*F252)</f>
        <v/>
      </c>
      <c r="L252" s="6">
        <f>IF(J252="","",J252*F252*2)</f>
        <v/>
      </c>
      <c r="M252" s="6" t="n"/>
      <c r="N252" s="6" t="n"/>
      <c r="O252" s="6">
        <f>IF(K252="","",MAX(0,K252+L252-N(M252))+N(N252))</f>
        <v/>
      </c>
      <c r="P252" s="8">
        <f>IF(A252="","",0.3)</f>
        <v/>
      </c>
      <c r="Q252" s="6">
        <f>IF(O252="","",O252*P252)</f>
        <v/>
      </c>
      <c r="R252" s="6">
        <f>IF(O252="","",IF(E252="Vara Cível",O252*0.15,0))</f>
        <v/>
      </c>
      <c r="S252" s="6">
        <f>IF(O252="","",Q252+R252)</f>
        <v/>
      </c>
      <c r="T252">
        <f>IF(G252="","",IF(G252&lt;EDATE(TODAY(),-120),"⚠ mais de 10 anos — cortar janela",""))</f>
        <v/>
      </c>
    </row>
    <row r="253">
      <c r="F253" s="6" t="n"/>
      <c r="G253" s="7" t="n"/>
      <c r="H253" s="7" t="n"/>
      <c r="I253">
        <f>IF(OR(G253="",H253=""),"",IF(G253&gt;DATE(2021,3,31),0,DATEDIF(G253,MIN(H253,DATE(2021,3,31)),"m")+1))</f>
        <v/>
      </c>
      <c r="J253">
        <f>IF(OR(G253="",H253=""),"",IF(H253&lt;DATE(2021,4,1),0,DATEDIF(MAX(G253,DATE(2021,4,1)),H253,"m")+1))</f>
        <v/>
      </c>
      <c r="K253" s="6">
        <f>IF(I253="","",I253*F253)</f>
        <v/>
      </c>
      <c r="L253" s="6">
        <f>IF(J253="","",J253*F253*2)</f>
        <v/>
      </c>
      <c r="M253" s="6" t="n"/>
      <c r="N253" s="6" t="n"/>
      <c r="O253" s="6">
        <f>IF(K253="","",MAX(0,K253+L253-N(M253))+N(N253))</f>
        <v/>
      </c>
      <c r="P253" s="8">
        <f>IF(A253="","",0.3)</f>
        <v/>
      </c>
      <c r="Q253" s="6">
        <f>IF(O253="","",O253*P253)</f>
        <v/>
      </c>
      <c r="R253" s="6">
        <f>IF(O253="","",IF(E253="Vara Cível",O253*0.15,0))</f>
        <v/>
      </c>
      <c r="S253" s="6">
        <f>IF(O253="","",Q253+R253)</f>
        <v/>
      </c>
      <c r="T253">
        <f>IF(G253="","",IF(G253&lt;EDATE(TODAY(),-120),"⚠ mais de 10 anos — cortar janela",""))</f>
        <v/>
      </c>
    </row>
    <row r="254">
      <c r="F254" s="6" t="n"/>
      <c r="G254" s="7" t="n"/>
      <c r="H254" s="7" t="n"/>
      <c r="I254">
        <f>IF(OR(G254="",H254=""),"",IF(G254&gt;DATE(2021,3,31),0,DATEDIF(G254,MIN(H254,DATE(2021,3,31)),"m")+1))</f>
        <v/>
      </c>
      <c r="J254">
        <f>IF(OR(G254="",H254=""),"",IF(H254&lt;DATE(2021,4,1),0,DATEDIF(MAX(G254,DATE(2021,4,1)),H254,"m")+1))</f>
        <v/>
      </c>
      <c r="K254" s="6">
        <f>IF(I254="","",I254*F254)</f>
        <v/>
      </c>
      <c r="L254" s="6">
        <f>IF(J254="","",J254*F254*2)</f>
        <v/>
      </c>
      <c r="M254" s="6" t="n"/>
      <c r="N254" s="6" t="n"/>
      <c r="O254" s="6">
        <f>IF(K254="","",MAX(0,K254+L254-N(M254))+N(N254))</f>
        <v/>
      </c>
      <c r="P254" s="8">
        <f>IF(A254="","",0.3)</f>
        <v/>
      </c>
      <c r="Q254" s="6">
        <f>IF(O254="","",O254*P254)</f>
        <v/>
      </c>
      <c r="R254" s="6">
        <f>IF(O254="","",IF(E254="Vara Cível",O254*0.15,0))</f>
        <v/>
      </c>
      <c r="S254" s="6">
        <f>IF(O254="","",Q254+R254)</f>
        <v/>
      </c>
      <c r="T254">
        <f>IF(G254="","",IF(G254&lt;EDATE(TODAY(),-120),"⚠ mais de 10 anos — cortar janela",""))</f>
        <v/>
      </c>
    </row>
    <row r="255">
      <c r="F255" s="6" t="n"/>
      <c r="G255" s="7" t="n"/>
      <c r="H255" s="7" t="n"/>
      <c r="I255">
        <f>IF(OR(G255="",H255=""),"",IF(G255&gt;DATE(2021,3,31),0,DATEDIF(G255,MIN(H255,DATE(2021,3,31)),"m")+1))</f>
        <v/>
      </c>
      <c r="J255">
        <f>IF(OR(G255="",H255=""),"",IF(H255&lt;DATE(2021,4,1),0,DATEDIF(MAX(G255,DATE(2021,4,1)),H255,"m")+1))</f>
        <v/>
      </c>
      <c r="K255" s="6">
        <f>IF(I255="","",I255*F255)</f>
        <v/>
      </c>
      <c r="L255" s="6">
        <f>IF(J255="","",J255*F255*2)</f>
        <v/>
      </c>
      <c r="M255" s="6" t="n"/>
      <c r="N255" s="6" t="n"/>
      <c r="O255" s="6">
        <f>IF(K255="","",MAX(0,K255+L255-N(M255))+N(N255))</f>
        <v/>
      </c>
      <c r="P255" s="8">
        <f>IF(A255="","",0.3)</f>
        <v/>
      </c>
      <c r="Q255" s="6">
        <f>IF(O255="","",O255*P255)</f>
        <v/>
      </c>
      <c r="R255" s="6">
        <f>IF(O255="","",IF(E255="Vara Cível",O255*0.15,0))</f>
        <v/>
      </c>
      <c r="S255" s="6">
        <f>IF(O255="","",Q255+R255)</f>
        <v/>
      </c>
      <c r="T255">
        <f>IF(G255="","",IF(G255&lt;EDATE(TODAY(),-120),"⚠ mais de 10 anos — cortar janela",""))</f>
        <v/>
      </c>
    </row>
    <row r="256">
      <c r="F256" s="6" t="n"/>
      <c r="G256" s="7" t="n"/>
      <c r="H256" s="7" t="n"/>
      <c r="I256">
        <f>IF(OR(G256="",H256=""),"",IF(G256&gt;DATE(2021,3,31),0,DATEDIF(G256,MIN(H256,DATE(2021,3,31)),"m")+1))</f>
        <v/>
      </c>
      <c r="J256">
        <f>IF(OR(G256="",H256=""),"",IF(H256&lt;DATE(2021,4,1),0,DATEDIF(MAX(G256,DATE(2021,4,1)),H256,"m")+1))</f>
        <v/>
      </c>
      <c r="K256" s="6">
        <f>IF(I256="","",I256*F256)</f>
        <v/>
      </c>
      <c r="L256" s="6">
        <f>IF(J256="","",J256*F256*2)</f>
        <v/>
      </c>
      <c r="M256" s="6" t="n"/>
      <c r="N256" s="6" t="n"/>
      <c r="O256" s="6">
        <f>IF(K256="","",MAX(0,K256+L256-N(M256))+N(N256))</f>
        <v/>
      </c>
      <c r="P256" s="8">
        <f>IF(A256="","",0.3)</f>
        <v/>
      </c>
      <c r="Q256" s="6">
        <f>IF(O256="","",O256*P256)</f>
        <v/>
      </c>
      <c r="R256" s="6">
        <f>IF(O256="","",IF(E256="Vara Cível",O256*0.15,0))</f>
        <v/>
      </c>
      <c r="S256" s="6">
        <f>IF(O256="","",Q256+R256)</f>
        <v/>
      </c>
      <c r="T256">
        <f>IF(G256="","",IF(G256&lt;EDATE(TODAY(),-120),"⚠ mais de 10 anos — cortar janela",""))</f>
        <v/>
      </c>
    </row>
    <row r="257">
      <c r="F257" s="6" t="n"/>
      <c r="G257" s="7" t="n"/>
      <c r="H257" s="7" t="n"/>
      <c r="I257">
        <f>IF(OR(G257="",H257=""),"",IF(G257&gt;DATE(2021,3,31),0,DATEDIF(G257,MIN(H257,DATE(2021,3,31)),"m")+1))</f>
        <v/>
      </c>
      <c r="J257">
        <f>IF(OR(G257="",H257=""),"",IF(H257&lt;DATE(2021,4,1),0,DATEDIF(MAX(G257,DATE(2021,4,1)),H257,"m")+1))</f>
        <v/>
      </c>
      <c r="K257" s="6">
        <f>IF(I257="","",I257*F257)</f>
        <v/>
      </c>
      <c r="L257" s="6">
        <f>IF(J257="","",J257*F257*2)</f>
        <v/>
      </c>
      <c r="M257" s="6" t="n"/>
      <c r="N257" s="6" t="n"/>
      <c r="O257" s="6">
        <f>IF(K257="","",MAX(0,K257+L257-N(M257))+N(N257))</f>
        <v/>
      </c>
      <c r="P257" s="8">
        <f>IF(A257="","",0.3)</f>
        <v/>
      </c>
      <c r="Q257" s="6">
        <f>IF(O257="","",O257*P257)</f>
        <v/>
      </c>
      <c r="R257" s="6">
        <f>IF(O257="","",IF(E257="Vara Cível",O257*0.15,0))</f>
        <v/>
      </c>
      <c r="S257" s="6">
        <f>IF(O257="","",Q257+R257)</f>
        <v/>
      </c>
      <c r="T257">
        <f>IF(G257="","",IF(G257&lt;EDATE(TODAY(),-120),"⚠ mais de 10 anos — cortar janela",""))</f>
        <v/>
      </c>
    </row>
    <row r="258">
      <c r="F258" s="6" t="n"/>
      <c r="G258" s="7" t="n"/>
      <c r="H258" s="7" t="n"/>
      <c r="I258">
        <f>IF(OR(G258="",H258=""),"",IF(G258&gt;DATE(2021,3,31),0,DATEDIF(G258,MIN(H258,DATE(2021,3,31)),"m")+1))</f>
        <v/>
      </c>
      <c r="J258">
        <f>IF(OR(G258="",H258=""),"",IF(H258&lt;DATE(2021,4,1),0,DATEDIF(MAX(G258,DATE(2021,4,1)),H258,"m")+1))</f>
        <v/>
      </c>
      <c r="K258" s="6">
        <f>IF(I258="","",I258*F258)</f>
        <v/>
      </c>
      <c r="L258" s="6">
        <f>IF(J258="","",J258*F258*2)</f>
        <v/>
      </c>
      <c r="M258" s="6" t="n"/>
      <c r="N258" s="6" t="n"/>
      <c r="O258" s="6">
        <f>IF(K258="","",MAX(0,K258+L258-N(M258))+N(N258))</f>
        <v/>
      </c>
      <c r="P258" s="8">
        <f>IF(A258="","",0.3)</f>
        <v/>
      </c>
      <c r="Q258" s="6">
        <f>IF(O258="","",O258*P258)</f>
        <v/>
      </c>
      <c r="R258" s="6">
        <f>IF(O258="","",IF(E258="Vara Cível",O258*0.15,0))</f>
        <v/>
      </c>
      <c r="S258" s="6">
        <f>IF(O258="","",Q258+R258)</f>
        <v/>
      </c>
      <c r="T258">
        <f>IF(G258="","",IF(G258&lt;EDATE(TODAY(),-120),"⚠ mais de 10 anos — cortar janela",""))</f>
        <v/>
      </c>
    </row>
    <row r="259">
      <c r="F259" s="6" t="n"/>
      <c r="G259" s="7" t="n"/>
      <c r="H259" s="7" t="n"/>
      <c r="I259">
        <f>IF(OR(G259="",H259=""),"",IF(G259&gt;DATE(2021,3,31),0,DATEDIF(G259,MIN(H259,DATE(2021,3,31)),"m")+1))</f>
        <v/>
      </c>
      <c r="J259">
        <f>IF(OR(G259="",H259=""),"",IF(H259&lt;DATE(2021,4,1),0,DATEDIF(MAX(G259,DATE(2021,4,1)),H259,"m")+1))</f>
        <v/>
      </c>
      <c r="K259" s="6">
        <f>IF(I259="","",I259*F259)</f>
        <v/>
      </c>
      <c r="L259" s="6">
        <f>IF(J259="","",J259*F259*2)</f>
        <v/>
      </c>
      <c r="M259" s="6" t="n"/>
      <c r="N259" s="6" t="n"/>
      <c r="O259" s="6">
        <f>IF(K259="","",MAX(0,K259+L259-N(M259))+N(N259))</f>
        <v/>
      </c>
      <c r="P259" s="8">
        <f>IF(A259="","",0.3)</f>
        <v/>
      </c>
      <c r="Q259" s="6">
        <f>IF(O259="","",O259*P259)</f>
        <v/>
      </c>
      <c r="R259" s="6">
        <f>IF(O259="","",IF(E259="Vara Cível",O259*0.15,0))</f>
        <v/>
      </c>
      <c r="S259" s="6">
        <f>IF(O259="","",Q259+R259)</f>
        <v/>
      </c>
      <c r="T259">
        <f>IF(G259="","",IF(G259&lt;EDATE(TODAY(),-120),"⚠ mais de 10 anos — cortar janela",""))</f>
        <v/>
      </c>
    </row>
    <row r="260">
      <c r="F260" s="6" t="n"/>
      <c r="G260" s="7" t="n"/>
      <c r="H260" s="7" t="n"/>
      <c r="I260">
        <f>IF(OR(G260="",H260=""),"",IF(G260&gt;DATE(2021,3,31),0,DATEDIF(G260,MIN(H260,DATE(2021,3,31)),"m")+1))</f>
        <v/>
      </c>
      <c r="J260">
        <f>IF(OR(G260="",H260=""),"",IF(H260&lt;DATE(2021,4,1),0,DATEDIF(MAX(G260,DATE(2021,4,1)),H260,"m")+1))</f>
        <v/>
      </c>
      <c r="K260" s="6">
        <f>IF(I260="","",I260*F260)</f>
        <v/>
      </c>
      <c r="L260" s="6">
        <f>IF(J260="","",J260*F260*2)</f>
        <v/>
      </c>
      <c r="M260" s="6" t="n"/>
      <c r="N260" s="6" t="n"/>
      <c r="O260" s="6">
        <f>IF(K260="","",MAX(0,K260+L260-N(M260))+N(N260))</f>
        <v/>
      </c>
      <c r="P260" s="8">
        <f>IF(A260="","",0.3)</f>
        <v/>
      </c>
      <c r="Q260" s="6">
        <f>IF(O260="","",O260*P260)</f>
        <v/>
      </c>
      <c r="R260" s="6">
        <f>IF(O260="","",IF(E260="Vara Cível",O260*0.15,0))</f>
        <v/>
      </c>
      <c r="S260" s="6">
        <f>IF(O260="","",Q260+R260)</f>
        <v/>
      </c>
      <c r="T260">
        <f>IF(G260="","",IF(G260&lt;EDATE(TODAY(),-120),"⚠ mais de 10 anos — cortar janela",""))</f>
        <v/>
      </c>
    </row>
    <row r="261">
      <c r="F261" s="6" t="n"/>
      <c r="G261" s="7" t="n"/>
      <c r="H261" s="7" t="n"/>
      <c r="I261">
        <f>IF(OR(G261="",H261=""),"",IF(G261&gt;DATE(2021,3,31),0,DATEDIF(G261,MIN(H261,DATE(2021,3,31)),"m")+1))</f>
        <v/>
      </c>
      <c r="J261">
        <f>IF(OR(G261="",H261=""),"",IF(H261&lt;DATE(2021,4,1),0,DATEDIF(MAX(G261,DATE(2021,4,1)),H261,"m")+1))</f>
        <v/>
      </c>
      <c r="K261" s="6">
        <f>IF(I261="","",I261*F261)</f>
        <v/>
      </c>
      <c r="L261" s="6">
        <f>IF(J261="","",J261*F261*2)</f>
        <v/>
      </c>
      <c r="M261" s="6" t="n"/>
      <c r="N261" s="6" t="n"/>
      <c r="O261" s="6">
        <f>IF(K261="","",MAX(0,K261+L261-N(M261))+N(N261))</f>
        <v/>
      </c>
      <c r="P261" s="8">
        <f>IF(A261="","",0.3)</f>
        <v/>
      </c>
      <c r="Q261" s="6">
        <f>IF(O261="","",O261*P261)</f>
        <v/>
      </c>
      <c r="R261" s="6">
        <f>IF(O261="","",IF(E261="Vara Cível",O261*0.15,0))</f>
        <v/>
      </c>
      <c r="S261" s="6">
        <f>IF(O261="","",Q261+R261)</f>
        <v/>
      </c>
      <c r="T261">
        <f>IF(G261="","",IF(G261&lt;EDATE(TODAY(),-120),"⚠ mais de 10 anos — cortar janela",""))</f>
        <v/>
      </c>
    </row>
    <row r="262">
      <c r="F262" s="6" t="n"/>
      <c r="G262" s="7" t="n"/>
      <c r="H262" s="7" t="n"/>
      <c r="I262">
        <f>IF(OR(G262="",H262=""),"",IF(G262&gt;DATE(2021,3,31),0,DATEDIF(G262,MIN(H262,DATE(2021,3,31)),"m")+1))</f>
        <v/>
      </c>
      <c r="J262">
        <f>IF(OR(G262="",H262=""),"",IF(H262&lt;DATE(2021,4,1),0,DATEDIF(MAX(G262,DATE(2021,4,1)),H262,"m")+1))</f>
        <v/>
      </c>
      <c r="K262" s="6">
        <f>IF(I262="","",I262*F262)</f>
        <v/>
      </c>
      <c r="L262" s="6">
        <f>IF(J262="","",J262*F262*2)</f>
        <v/>
      </c>
      <c r="M262" s="6" t="n"/>
      <c r="N262" s="6" t="n"/>
      <c r="O262" s="6">
        <f>IF(K262="","",MAX(0,K262+L262-N(M262))+N(N262))</f>
        <v/>
      </c>
      <c r="P262" s="8">
        <f>IF(A262="","",0.3)</f>
        <v/>
      </c>
      <c r="Q262" s="6">
        <f>IF(O262="","",O262*P262)</f>
        <v/>
      </c>
      <c r="R262" s="6">
        <f>IF(O262="","",IF(E262="Vara Cível",O262*0.15,0))</f>
        <v/>
      </c>
      <c r="S262" s="6">
        <f>IF(O262="","",Q262+R262)</f>
        <v/>
      </c>
      <c r="T262">
        <f>IF(G262="","",IF(G262&lt;EDATE(TODAY(),-120),"⚠ mais de 10 anos — cortar janela",""))</f>
        <v/>
      </c>
    </row>
    <row r="263">
      <c r="F263" s="6" t="n"/>
      <c r="G263" s="7" t="n"/>
      <c r="H263" s="7" t="n"/>
      <c r="I263">
        <f>IF(OR(G263="",H263=""),"",IF(G263&gt;DATE(2021,3,31),0,DATEDIF(G263,MIN(H263,DATE(2021,3,31)),"m")+1))</f>
        <v/>
      </c>
      <c r="J263">
        <f>IF(OR(G263="",H263=""),"",IF(H263&lt;DATE(2021,4,1),0,DATEDIF(MAX(G263,DATE(2021,4,1)),H263,"m")+1))</f>
        <v/>
      </c>
      <c r="K263" s="6">
        <f>IF(I263="","",I263*F263)</f>
        <v/>
      </c>
      <c r="L263" s="6">
        <f>IF(J263="","",J263*F263*2)</f>
        <v/>
      </c>
      <c r="M263" s="6" t="n"/>
      <c r="N263" s="6" t="n"/>
      <c r="O263" s="6">
        <f>IF(K263="","",MAX(0,K263+L263-N(M263))+N(N263))</f>
        <v/>
      </c>
      <c r="P263" s="8">
        <f>IF(A263="","",0.3)</f>
        <v/>
      </c>
      <c r="Q263" s="6">
        <f>IF(O263="","",O263*P263)</f>
        <v/>
      </c>
      <c r="R263" s="6">
        <f>IF(O263="","",IF(E263="Vara Cível",O263*0.15,0))</f>
        <v/>
      </c>
      <c r="S263" s="6">
        <f>IF(O263="","",Q263+R263)</f>
        <v/>
      </c>
      <c r="T263">
        <f>IF(G263="","",IF(G263&lt;EDATE(TODAY(),-120),"⚠ mais de 10 anos — cortar janela",""))</f>
        <v/>
      </c>
    </row>
    <row r="264">
      <c r="F264" s="6" t="n"/>
      <c r="G264" s="7" t="n"/>
      <c r="H264" s="7" t="n"/>
      <c r="I264">
        <f>IF(OR(G264="",H264=""),"",IF(G264&gt;DATE(2021,3,31),0,DATEDIF(G264,MIN(H264,DATE(2021,3,31)),"m")+1))</f>
        <v/>
      </c>
      <c r="J264">
        <f>IF(OR(G264="",H264=""),"",IF(H264&lt;DATE(2021,4,1),0,DATEDIF(MAX(G264,DATE(2021,4,1)),H264,"m")+1))</f>
        <v/>
      </c>
      <c r="K264" s="6">
        <f>IF(I264="","",I264*F264)</f>
        <v/>
      </c>
      <c r="L264" s="6">
        <f>IF(J264="","",J264*F264*2)</f>
        <v/>
      </c>
      <c r="M264" s="6" t="n"/>
      <c r="N264" s="6" t="n"/>
      <c r="O264" s="6">
        <f>IF(K264="","",MAX(0,K264+L264-N(M264))+N(N264))</f>
        <v/>
      </c>
      <c r="P264" s="8">
        <f>IF(A264="","",0.3)</f>
        <v/>
      </c>
      <c r="Q264" s="6">
        <f>IF(O264="","",O264*P264)</f>
        <v/>
      </c>
      <c r="R264" s="6">
        <f>IF(O264="","",IF(E264="Vara Cível",O264*0.15,0))</f>
        <v/>
      </c>
      <c r="S264" s="6">
        <f>IF(O264="","",Q264+R264)</f>
        <v/>
      </c>
      <c r="T264">
        <f>IF(G264="","",IF(G264&lt;EDATE(TODAY(),-120),"⚠ mais de 10 anos — cortar janela",""))</f>
        <v/>
      </c>
    </row>
    <row r="265">
      <c r="F265" s="6" t="n"/>
      <c r="G265" s="7" t="n"/>
      <c r="H265" s="7" t="n"/>
      <c r="I265">
        <f>IF(OR(G265="",H265=""),"",IF(G265&gt;DATE(2021,3,31),0,DATEDIF(G265,MIN(H265,DATE(2021,3,31)),"m")+1))</f>
        <v/>
      </c>
      <c r="J265">
        <f>IF(OR(G265="",H265=""),"",IF(H265&lt;DATE(2021,4,1),0,DATEDIF(MAX(G265,DATE(2021,4,1)),H265,"m")+1))</f>
        <v/>
      </c>
      <c r="K265" s="6">
        <f>IF(I265="","",I265*F265)</f>
        <v/>
      </c>
      <c r="L265" s="6">
        <f>IF(J265="","",J265*F265*2)</f>
        <v/>
      </c>
      <c r="M265" s="6" t="n"/>
      <c r="N265" s="6" t="n"/>
      <c r="O265" s="6">
        <f>IF(K265="","",MAX(0,K265+L265-N(M265))+N(N265))</f>
        <v/>
      </c>
      <c r="P265" s="8">
        <f>IF(A265="","",0.3)</f>
        <v/>
      </c>
      <c r="Q265" s="6">
        <f>IF(O265="","",O265*P265)</f>
        <v/>
      </c>
      <c r="R265" s="6">
        <f>IF(O265="","",IF(E265="Vara Cível",O265*0.15,0))</f>
        <v/>
      </c>
      <c r="S265" s="6">
        <f>IF(O265="","",Q265+R265)</f>
        <v/>
      </c>
      <c r="T265">
        <f>IF(G265="","",IF(G265&lt;EDATE(TODAY(),-120),"⚠ mais de 10 anos — cortar janela",""))</f>
        <v/>
      </c>
    </row>
    <row r="266">
      <c r="F266" s="6" t="n"/>
      <c r="G266" s="7" t="n"/>
      <c r="H266" s="7" t="n"/>
      <c r="I266">
        <f>IF(OR(G266="",H266=""),"",IF(G266&gt;DATE(2021,3,31),0,DATEDIF(G266,MIN(H266,DATE(2021,3,31)),"m")+1))</f>
        <v/>
      </c>
      <c r="J266">
        <f>IF(OR(G266="",H266=""),"",IF(H266&lt;DATE(2021,4,1),0,DATEDIF(MAX(G266,DATE(2021,4,1)),H266,"m")+1))</f>
        <v/>
      </c>
      <c r="K266" s="6">
        <f>IF(I266="","",I266*F266)</f>
        <v/>
      </c>
      <c r="L266" s="6">
        <f>IF(J266="","",J266*F266*2)</f>
        <v/>
      </c>
      <c r="M266" s="6" t="n"/>
      <c r="N266" s="6" t="n"/>
      <c r="O266" s="6">
        <f>IF(K266="","",MAX(0,K266+L266-N(M266))+N(N266))</f>
        <v/>
      </c>
      <c r="P266" s="8">
        <f>IF(A266="","",0.3)</f>
        <v/>
      </c>
      <c r="Q266" s="6">
        <f>IF(O266="","",O266*P266)</f>
        <v/>
      </c>
      <c r="R266" s="6">
        <f>IF(O266="","",IF(E266="Vara Cível",O266*0.15,0))</f>
        <v/>
      </c>
      <c r="S266" s="6">
        <f>IF(O266="","",Q266+R266)</f>
        <v/>
      </c>
      <c r="T266">
        <f>IF(G266="","",IF(G266&lt;EDATE(TODAY(),-120),"⚠ mais de 10 anos — cortar janela",""))</f>
        <v/>
      </c>
    </row>
    <row r="267">
      <c r="F267" s="6" t="n"/>
      <c r="G267" s="7" t="n"/>
      <c r="H267" s="7" t="n"/>
      <c r="I267">
        <f>IF(OR(G267="",H267=""),"",IF(G267&gt;DATE(2021,3,31),0,DATEDIF(G267,MIN(H267,DATE(2021,3,31)),"m")+1))</f>
        <v/>
      </c>
      <c r="J267">
        <f>IF(OR(G267="",H267=""),"",IF(H267&lt;DATE(2021,4,1),0,DATEDIF(MAX(G267,DATE(2021,4,1)),H267,"m")+1))</f>
        <v/>
      </c>
      <c r="K267" s="6">
        <f>IF(I267="","",I267*F267)</f>
        <v/>
      </c>
      <c r="L267" s="6">
        <f>IF(J267="","",J267*F267*2)</f>
        <v/>
      </c>
      <c r="M267" s="6" t="n"/>
      <c r="N267" s="6" t="n"/>
      <c r="O267" s="6">
        <f>IF(K267="","",MAX(0,K267+L267-N(M267))+N(N267))</f>
        <v/>
      </c>
      <c r="P267" s="8">
        <f>IF(A267="","",0.3)</f>
        <v/>
      </c>
      <c r="Q267" s="6">
        <f>IF(O267="","",O267*P267)</f>
        <v/>
      </c>
      <c r="R267" s="6">
        <f>IF(O267="","",IF(E267="Vara Cível",O267*0.15,0))</f>
        <v/>
      </c>
      <c r="S267" s="6">
        <f>IF(O267="","",Q267+R267)</f>
        <v/>
      </c>
      <c r="T267">
        <f>IF(G267="","",IF(G267&lt;EDATE(TODAY(),-120),"⚠ mais de 10 anos — cortar janela",""))</f>
        <v/>
      </c>
    </row>
    <row r="268">
      <c r="F268" s="6" t="n"/>
      <c r="G268" s="7" t="n"/>
      <c r="H268" s="7" t="n"/>
      <c r="I268">
        <f>IF(OR(G268="",H268=""),"",IF(G268&gt;DATE(2021,3,31),0,DATEDIF(G268,MIN(H268,DATE(2021,3,31)),"m")+1))</f>
        <v/>
      </c>
      <c r="J268">
        <f>IF(OR(G268="",H268=""),"",IF(H268&lt;DATE(2021,4,1),0,DATEDIF(MAX(G268,DATE(2021,4,1)),H268,"m")+1))</f>
        <v/>
      </c>
      <c r="K268" s="6">
        <f>IF(I268="","",I268*F268)</f>
        <v/>
      </c>
      <c r="L268" s="6">
        <f>IF(J268="","",J268*F268*2)</f>
        <v/>
      </c>
      <c r="M268" s="6" t="n"/>
      <c r="N268" s="6" t="n"/>
      <c r="O268" s="6">
        <f>IF(K268="","",MAX(0,K268+L268-N(M268))+N(N268))</f>
        <v/>
      </c>
      <c r="P268" s="8">
        <f>IF(A268="","",0.3)</f>
        <v/>
      </c>
      <c r="Q268" s="6">
        <f>IF(O268="","",O268*P268)</f>
        <v/>
      </c>
      <c r="R268" s="6">
        <f>IF(O268="","",IF(E268="Vara Cível",O268*0.15,0))</f>
        <v/>
      </c>
      <c r="S268" s="6">
        <f>IF(O268="","",Q268+R268)</f>
        <v/>
      </c>
      <c r="T268">
        <f>IF(G268="","",IF(G268&lt;EDATE(TODAY(),-120),"⚠ mais de 10 anos — cortar janela",""))</f>
        <v/>
      </c>
    </row>
    <row r="269">
      <c r="F269" s="6" t="n"/>
      <c r="G269" s="7" t="n"/>
      <c r="H269" s="7" t="n"/>
      <c r="I269">
        <f>IF(OR(G269="",H269=""),"",IF(G269&gt;DATE(2021,3,31),0,DATEDIF(G269,MIN(H269,DATE(2021,3,31)),"m")+1))</f>
        <v/>
      </c>
      <c r="J269">
        <f>IF(OR(G269="",H269=""),"",IF(H269&lt;DATE(2021,4,1),0,DATEDIF(MAX(G269,DATE(2021,4,1)),H269,"m")+1))</f>
        <v/>
      </c>
      <c r="K269" s="6">
        <f>IF(I269="","",I269*F269)</f>
        <v/>
      </c>
      <c r="L269" s="6">
        <f>IF(J269="","",J269*F269*2)</f>
        <v/>
      </c>
      <c r="M269" s="6" t="n"/>
      <c r="N269" s="6" t="n"/>
      <c r="O269" s="6">
        <f>IF(K269="","",MAX(0,K269+L269-N(M269))+N(N269))</f>
        <v/>
      </c>
      <c r="P269" s="8">
        <f>IF(A269="","",0.3)</f>
        <v/>
      </c>
      <c r="Q269" s="6">
        <f>IF(O269="","",O269*P269)</f>
        <v/>
      </c>
      <c r="R269" s="6">
        <f>IF(O269="","",IF(E269="Vara Cível",O269*0.15,0))</f>
        <v/>
      </c>
      <c r="S269" s="6">
        <f>IF(O269="","",Q269+R269)</f>
        <v/>
      </c>
      <c r="T269">
        <f>IF(G269="","",IF(G269&lt;EDATE(TODAY(),-120),"⚠ mais de 10 anos — cortar janela",""))</f>
        <v/>
      </c>
    </row>
    <row r="270">
      <c r="F270" s="6" t="n"/>
      <c r="G270" s="7" t="n"/>
      <c r="H270" s="7" t="n"/>
      <c r="I270">
        <f>IF(OR(G270="",H270=""),"",IF(G270&gt;DATE(2021,3,31),0,DATEDIF(G270,MIN(H270,DATE(2021,3,31)),"m")+1))</f>
        <v/>
      </c>
      <c r="J270">
        <f>IF(OR(G270="",H270=""),"",IF(H270&lt;DATE(2021,4,1),0,DATEDIF(MAX(G270,DATE(2021,4,1)),H270,"m")+1))</f>
        <v/>
      </c>
      <c r="K270" s="6">
        <f>IF(I270="","",I270*F270)</f>
        <v/>
      </c>
      <c r="L270" s="6">
        <f>IF(J270="","",J270*F270*2)</f>
        <v/>
      </c>
      <c r="M270" s="6" t="n"/>
      <c r="N270" s="6" t="n"/>
      <c r="O270" s="6">
        <f>IF(K270="","",MAX(0,K270+L270-N(M270))+N(N270))</f>
        <v/>
      </c>
      <c r="P270" s="8">
        <f>IF(A270="","",0.3)</f>
        <v/>
      </c>
      <c r="Q270" s="6">
        <f>IF(O270="","",O270*P270)</f>
        <v/>
      </c>
      <c r="R270" s="6">
        <f>IF(O270="","",IF(E270="Vara Cível",O270*0.15,0))</f>
        <v/>
      </c>
      <c r="S270" s="6">
        <f>IF(O270="","",Q270+R270)</f>
        <v/>
      </c>
      <c r="T270">
        <f>IF(G270="","",IF(G270&lt;EDATE(TODAY(),-120),"⚠ mais de 10 anos — cortar janela",""))</f>
        <v/>
      </c>
    </row>
    <row r="271">
      <c r="F271" s="6" t="n"/>
      <c r="G271" s="7" t="n"/>
      <c r="H271" s="7" t="n"/>
      <c r="I271">
        <f>IF(OR(G271="",H271=""),"",IF(G271&gt;DATE(2021,3,31),0,DATEDIF(G271,MIN(H271,DATE(2021,3,31)),"m")+1))</f>
        <v/>
      </c>
      <c r="J271">
        <f>IF(OR(G271="",H271=""),"",IF(H271&lt;DATE(2021,4,1),0,DATEDIF(MAX(G271,DATE(2021,4,1)),H271,"m")+1))</f>
        <v/>
      </c>
      <c r="K271" s="6">
        <f>IF(I271="","",I271*F271)</f>
        <v/>
      </c>
      <c r="L271" s="6">
        <f>IF(J271="","",J271*F271*2)</f>
        <v/>
      </c>
      <c r="M271" s="6" t="n"/>
      <c r="N271" s="6" t="n"/>
      <c r="O271" s="6">
        <f>IF(K271="","",MAX(0,K271+L271-N(M271))+N(N271))</f>
        <v/>
      </c>
      <c r="P271" s="8">
        <f>IF(A271="","",0.3)</f>
        <v/>
      </c>
      <c r="Q271" s="6">
        <f>IF(O271="","",O271*P271)</f>
        <v/>
      </c>
      <c r="R271" s="6">
        <f>IF(O271="","",IF(E271="Vara Cível",O271*0.15,0))</f>
        <v/>
      </c>
      <c r="S271" s="6">
        <f>IF(O271="","",Q271+R271)</f>
        <v/>
      </c>
      <c r="T271">
        <f>IF(G271="","",IF(G271&lt;EDATE(TODAY(),-120),"⚠ mais de 10 anos — cortar janela",""))</f>
        <v/>
      </c>
    </row>
    <row r="272">
      <c r="F272" s="6" t="n"/>
      <c r="G272" s="7" t="n"/>
      <c r="H272" s="7" t="n"/>
      <c r="I272">
        <f>IF(OR(G272="",H272=""),"",IF(G272&gt;DATE(2021,3,31),0,DATEDIF(G272,MIN(H272,DATE(2021,3,31)),"m")+1))</f>
        <v/>
      </c>
      <c r="J272">
        <f>IF(OR(G272="",H272=""),"",IF(H272&lt;DATE(2021,4,1),0,DATEDIF(MAX(G272,DATE(2021,4,1)),H272,"m")+1))</f>
        <v/>
      </c>
      <c r="K272" s="6">
        <f>IF(I272="","",I272*F272)</f>
        <v/>
      </c>
      <c r="L272" s="6">
        <f>IF(J272="","",J272*F272*2)</f>
        <v/>
      </c>
      <c r="M272" s="6" t="n"/>
      <c r="N272" s="6" t="n"/>
      <c r="O272" s="6">
        <f>IF(K272="","",MAX(0,K272+L272-N(M272))+N(N272))</f>
        <v/>
      </c>
      <c r="P272" s="8">
        <f>IF(A272="","",0.3)</f>
        <v/>
      </c>
      <c r="Q272" s="6">
        <f>IF(O272="","",O272*P272)</f>
        <v/>
      </c>
      <c r="R272" s="6">
        <f>IF(O272="","",IF(E272="Vara Cível",O272*0.15,0))</f>
        <v/>
      </c>
      <c r="S272" s="6">
        <f>IF(O272="","",Q272+R272)</f>
        <v/>
      </c>
      <c r="T272">
        <f>IF(G272="","",IF(G272&lt;EDATE(TODAY(),-120),"⚠ mais de 10 anos — cortar janela",""))</f>
        <v/>
      </c>
    </row>
    <row r="273">
      <c r="F273" s="6" t="n"/>
      <c r="G273" s="7" t="n"/>
      <c r="H273" s="7" t="n"/>
      <c r="I273">
        <f>IF(OR(G273="",H273=""),"",IF(G273&gt;DATE(2021,3,31),0,DATEDIF(G273,MIN(H273,DATE(2021,3,31)),"m")+1))</f>
        <v/>
      </c>
      <c r="J273">
        <f>IF(OR(G273="",H273=""),"",IF(H273&lt;DATE(2021,4,1),0,DATEDIF(MAX(G273,DATE(2021,4,1)),H273,"m")+1))</f>
        <v/>
      </c>
      <c r="K273" s="6">
        <f>IF(I273="","",I273*F273)</f>
        <v/>
      </c>
      <c r="L273" s="6">
        <f>IF(J273="","",J273*F273*2)</f>
        <v/>
      </c>
      <c r="M273" s="6" t="n"/>
      <c r="N273" s="6" t="n"/>
      <c r="O273" s="6">
        <f>IF(K273="","",MAX(0,K273+L273-N(M273))+N(N273))</f>
        <v/>
      </c>
      <c r="P273" s="8">
        <f>IF(A273="","",0.3)</f>
        <v/>
      </c>
      <c r="Q273" s="6">
        <f>IF(O273="","",O273*P273)</f>
        <v/>
      </c>
      <c r="R273" s="6">
        <f>IF(O273="","",IF(E273="Vara Cível",O273*0.15,0))</f>
        <v/>
      </c>
      <c r="S273" s="6">
        <f>IF(O273="","",Q273+R273)</f>
        <v/>
      </c>
      <c r="T273">
        <f>IF(G273="","",IF(G273&lt;EDATE(TODAY(),-120),"⚠ mais de 10 anos — cortar janela",""))</f>
        <v/>
      </c>
    </row>
    <row r="274">
      <c r="F274" s="6" t="n"/>
      <c r="G274" s="7" t="n"/>
      <c r="H274" s="7" t="n"/>
      <c r="I274">
        <f>IF(OR(G274="",H274=""),"",IF(G274&gt;DATE(2021,3,31),0,DATEDIF(G274,MIN(H274,DATE(2021,3,31)),"m")+1))</f>
        <v/>
      </c>
      <c r="J274">
        <f>IF(OR(G274="",H274=""),"",IF(H274&lt;DATE(2021,4,1),0,DATEDIF(MAX(G274,DATE(2021,4,1)),H274,"m")+1))</f>
        <v/>
      </c>
      <c r="K274" s="6">
        <f>IF(I274="","",I274*F274)</f>
        <v/>
      </c>
      <c r="L274" s="6">
        <f>IF(J274="","",J274*F274*2)</f>
        <v/>
      </c>
      <c r="M274" s="6" t="n"/>
      <c r="N274" s="6" t="n"/>
      <c r="O274" s="6">
        <f>IF(K274="","",MAX(0,K274+L274-N(M274))+N(N274))</f>
        <v/>
      </c>
      <c r="P274" s="8">
        <f>IF(A274="","",0.3)</f>
        <v/>
      </c>
      <c r="Q274" s="6">
        <f>IF(O274="","",O274*P274)</f>
        <v/>
      </c>
      <c r="R274" s="6">
        <f>IF(O274="","",IF(E274="Vara Cível",O274*0.15,0))</f>
        <v/>
      </c>
      <c r="S274" s="6">
        <f>IF(O274="","",Q274+R274)</f>
        <v/>
      </c>
      <c r="T274">
        <f>IF(G274="","",IF(G274&lt;EDATE(TODAY(),-120),"⚠ mais de 10 anos — cortar janela",""))</f>
        <v/>
      </c>
    </row>
    <row r="275">
      <c r="F275" s="6" t="n"/>
      <c r="G275" s="7" t="n"/>
      <c r="H275" s="7" t="n"/>
      <c r="I275">
        <f>IF(OR(G275="",H275=""),"",IF(G275&gt;DATE(2021,3,31),0,DATEDIF(G275,MIN(H275,DATE(2021,3,31)),"m")+1))</f>
        <v/>
      </c>
      <c r="J275">
        <f>IF(OR(G275="",H275=""),"",IF(H275&lt;DATE(2021,4,1),0,DATEDIF(MAX(G275,DATE(2021,4,1)),H275,"m")+1))</f>
        <v/>
      </c>
      <c r="K275" s="6">
        <f>IF(I275="","",I275*F275)</f>
        <v/>
      </c>
      <c r="L275" s="6">
        <f>IF(J275="","",J275*F275*2)</f>
        <v/>
      </c>
      <c r="M275" s="6" t="n"/>
      <c r="N275" s="6" t="n"/>
      <c r="O275" s="6">
        <f>IF(K275="","",MAX(0,K275+L275-N(M275))+N(N275))</f>
        <v/>
      </c>
      <c r="P275" s="8">
        <f>IF(A275="","",0.3)</f>
        <v/>
      </c>
      <c r="Q275" s="6">
        <f>IF(O275="","",O275*P275)</f>
        <v/>
      </c>
      <c r="R275" s="6">
        <f>IF(O275="","",IF(E275="Vara Cível",O275*0.15,0))</f>
        <v/>
      </c>
      <c r="S275" s="6">
        <f>IF(O275="","",Q275+R275)</f>
        <v/>
      </c>
      <c r="T275">
        <f>IF(G275="","",IF(G275&lt;EDATE(TODAY(),-120),"⚠ mais de 10 anos — cortar janela",""))</f>
        <v/>
      </c>
    </row>
    <row r="276">
      <c r="F276" s="6" t="n"/>
      <c r="G276" s="7" t="n"/>
      <c r="H276" s="7" t="n"/>
      <c r="I276">
        <f>IF(OR(G276="",H276=""),"",IF(G276&gt;DATE(2021,3,31),0,DATEDIF(G276,MIN(H276,DATE(2021,3,31)),"m")+1))</f>
        <v/>
      </c>
      <c r="J276">
        <f>IF(OR(G276="",H276=""),"",IF(H276&lt;DATE(2021,4,1),0,DATEDIF(MAX(G276,DATE(2021,4,1)),H276,"m")+1))</f>
        <v/>
      </c>
      <c r="K276" s="6">
        <f>IF(I276="","",I276*F276)</f>
        <v/>
      </c>
      <c r="L276" s="6">
        <f>IF(J276="","",J276*F276*2)</f>
        <v/>
      </c>
      <c r="M276" s="6" t="n"/>
      <c r="N276" s="6" t="n"/>
      <c r="O276" s="6">
        <f>IF(K276="","",MAX(0,K276+L276-N(M276))+N(N276))</f>
        <v/>
      </c>
      <c r="P276" s="8">
        <f>IF(A276="","",0.3)</f>
        <v/>
      </c>
      <c r="Q276" s="6">
        <f>IF(O276="","",O276*P276)</f>
        <v/>
      </c>
      <c r="R276" s="6">
        <f>IF(O276="","",IF(E276="Vara Cível",O276*0.15,0))</f>
        <v/>
      </c>
      <c r="S276" s="6">
        <f>IF(O276="","",Q276+R276)</f>
        <v/>
      </c>
      <c r="T276">
        <f>IF(G276="","",IF(G276&lt;EDATE(TODAY(),-120),"⚠ mais de 10 anos — cortar janela",""))</f>
        <v/>
      </c>
    </row>
    <row r="277">
      <c r="F277" s="6" t="n"/>
      <c r="G277" s="7" t="n"/>
      <c r="H277" s="7" t="n"/>
      <c r="I277">
        <f>IF(OR(G277="",H277=""),"",IF(G277&gt;DATE(2021,3,31),0,DATEDIF(G277,MIN(H277,DATE(2021,3,31)),"m")+1))</f>
        <v/>
      </c>
      <c r="J277">
        <f>IF(OR(G277="",H277=""),"",IF(H277&lt;DATE(2021,4,1),0,DATEDIF(MAX(G277,DATE(2021,4,1)),H277,"m")+1))</f>
        <v/>
      </c>
      <c r="K277" s="6">
        <f>IF(I277="","",I277*F277)</f>
        <v/>
      </c>
      <c r="L277" s="6">
        <f>IF(J277="","",J277*F277*2)</f>
        <v/>
      </c>
      <c r="M277" s="6" t="n"/>
      <c r="N277" s="6" t="n"/>
      <c r="O277" s="6">
        <f>IF(K277="","",MAX(0,K277+L277-N(M277))+N(N277))</f>
        <v/>
      </c>
      <c r="P277" s="8">
        <f>IF(A277="","",0.3)</f>
        <v/>
      </c>
      <c r="Q277" s="6">
        <f>IF(O277="","",O277*P277)</f>
        <v/>
      </c>
      <c r="R277" s="6">
        <f>IF(O277="","",IF(E277="Vara Cível",O277*0.15,0))</f>
        <v/>
      </c>
      <c r="S277" s="6">
        <f>IF(O277="","",Q277+R277)</f>
        <v/>
      </c>
      <c r="T277">
        <f>IF(G277="","",IF(G277&lt;EDATE(TODAY(),-120),"⚠ mais de 10 anos — cortar janela",""))</f>
        <v/>
      </c>
    </row>
    <row r="278">
      <c r="F278" s="6" t="n"/>
      <c r="G278" s="7" t="n"/>
      <c r="H278" s="7" t="n"/>
      <c r="I278">
        <f>IF(OR(G278="",H278=""),"",IF(G278&gt;DATE(2021,3,31),0,DATEDIF(G278,MIN(H278,DATE(2021,3,31)),"m")+1))</f>
        <v/>
      </c>
      <c r="J278">
        <f>IF(OR(G278="",H278=""),"",IF(H278&lt;DATE(2021,4,1),0,DATEDIF(MAX(G278,DATE(2021,4,1)),H278,"m")+1))</f>
        <v/>
      </c>
      <c r="K278" s="6">
        <f>IF(I278="","",I278*F278)</f>
        <v/>
      </c>
      <c r="L278" s="6">
        <f>IF(J278="","",J278*F278*2)</f>
        <v/>
      </c>
      <c r="M278" s="6" t="n"/>
      <c r="N278" s="6" t="n"/>
      <c r="O278" s="6">
        <f>IF(K278="","",MAX(0,K278+L278-N(M278))+N(N278))</f>
        <v/>
      </c>
      <c r="P278" s="8">
        <f>IF(A278="","",0.3)</f>
        <v/>
      </c>
      <c r="Q278" s="6">
        <f>IF(O278="","",O278*P278)</f>
        <v/>
      </c>
      <c r="R278" s="6">
        <f>IF(O278="","",IF(E278="Vara Cível",O278*0.15,0))</f>
        <v/>
      </c>
      <c r="S278" s="6">
        <f>IF(O278="","",Q278+R278)</f>
        <v/>
      </c>
      <c r="T278">
        <f>IF(G278="","",IF(G278&lt;EDATE(TODAY(),-120),"⚠ mais de 10 anos — cortar janela",""))</f>
        <v/>
      </c>
    </row>
    <row r="279">
      <c r="F279" s="6" t="n"/>
      <c r="G279" s="7" t="n"/>
      <c r="H279" s="7" t="n"/>
      <c r="I279">
        <f>IF(OR(G279="",H279=""),"",IF(G279&gt;DATE(2021,3,31),0,DATEDIF(G279,MIN(H279,DATE(2021,3,31)),"m")+1))</f>
        <v/>
      </c>
      <c r="J279">
        <f>IF(OR(G279="",H279=""),"",IF(H279&lt;DATE(2021,4,1),0,DATEDIF(MAX(G279,DATE(2021,4,1)),H279,"m")+1))</f>
        <v/>
      </c>
      <c r="K279" s="6">
        <f>IF(I279="","",I279*F279)</f>
        <v/>
      </c>
      <c r="L279" s="6">
        <f>IF(J279="","",J279*F279*2)</f>
        <v/>
      </c>
      <c r="M279" s="6" t="n"/>
      <c r="N279" s="6" t="n"/>
      <c r="O279" s="6">
        <f>IF(K279="","",MAX(0,K279+L279-N(M279))+N(N279))</f>
        <v/>
      </c>
      <c r="P279" s="8">
        <f>IF(A279="","",0.3)</f>
        <v/>
      </c>
      <c r="Q279" s="6">
        <f>IF(O279="","",O279*P279)</f>
        <v/>
      </c>
      <c r="R279" s="6">
        <f>IF(O279="","",IF(E279="Vara Cível",O279*0.15,0))</f>
        <v/>
      </c>
      <c r="S279" s="6">
        <f>IF(O279="","",Q279+R279)</f>
        <v/>
      </c>
      <c r="T279">
        <f>IF(G279="","",IF(G279&lt;EDATE(TODAY(),-120),"⚠ mais de 10 anos — cortar janela",""))</f>
        <v/>
      </c>
    </row>
    <row r="280">
      <c r="F280" s="6" t="n"/>
      <c r="G280" s="7" t="n"/>
      <c r="H280" s="7" t="n"/>
      <c r="I280">
        <f>IF(OR(G280="",H280=""),"",IF(G280&gt;DATE(2021,3,31),0,DATEDIF(G280,MIN(H280,DATE(2021,3,31)),"m")+1))</f>
        <v/>
      </c>
      <c r="J280">
        <f>IF(OR(G280="",H280=""),"",IF(H280&lt;DATE(2021,4,1),0,DATEDIF(MAX(G280,DATE(2021,4,1)),H280,"m")+1))</f>
        <v/>
      </c>
      <c r="K280" s="6">
        <f>IF(I280="","",I280*F280)</f>
        <v/>
      </c>
      <c r="L280" s="6">
        <f>IF(J280="","",J280*F280*2)</f>
        <v/>
      </c>
      <c r="M280" s="6" t="n"/>
      <c r="N280" s="6" t="n"/>
      <c r="O280" s="6">
        <f>IF(K280="","",MAX(0,K280+L280-N(M280))+N(N280))</f>
        <v/>
      </c>
      <c r="P280" s="8">
        <f>IF(A280="","",0.3)</f>
        <v/>
      </c>
      <c r="Q280" s="6">
        <f>IF(O280="","",O280*P280)</f>
        <v/>
      </c>
      <c r="R280" s="6">
        <f>IF(O280="","",IF(E280="Vara Cível",O280*0.15,0))</f>
        <v/>
      </c>
      <c r="S280" s="6">
        <f>IF(O280="","",Q280+R280)</f>
        <v/>
      </c>
      <c r="T280">
        <f>IF(G280="","",IF(G280&lt;EDATE(TODAY(),-120),"⚠ mais de 10 anos — cortar janela",""))</f>
        <v/>
      </c>
    </row>
    <row r="281">
      <c r="F281" s="6" t="n"/>
      <c r="G281" s="7" t="n"/>
      <c r="H281" s="7" t="n"/>
      <c r="I281">
        <f>IF(OR(G281="",H281=""),"",IF(G281&gt;DATE(2021,3,31),0,DATEDIF(G281,MIN(H281,DATE(2021,3,31)),"m")+1))</f>
        <v/>
      </c>
      <c r="J281">
        <f>IF(OR(G281="",H281=""),"",IF(H281&lt;DATE(2021,4,1),0,DATEDIF(MAX(G281,DATE(2021,4,1)),H281,"m")+1))</f>
        <v/>
      </c>
      <c r="K281" s="6">
        <f>IF(I281="","",I281*F281)</f>
        <v/>
      </c>
      <c r="L281" s="6">
        <f>IF(J281="","",J281*F281*2)</f>
        <v/>
      </c>
      <c r="M281" s="6" t="n"/>
      <c r="N281" s="6" t="n"/>
      <c r="O281" s="6">
        <f>IF(K281="","",MAX(0,K281+L281-N(M281))+N(N281))</f>
        <v/>
      </c>
      <c r="P281" s="8">
        <f>IF(A281="","",0.3)</f>
        <v/>
      </c>
      <c r="Q281" s="6">
        <f>IF(O281="","",O281*P281)</f>
        <v/>
      </c>
      <c r="R281" s="6">
        <f>IF(O281="","",IF(E281="Vara Cível",O281*0.15,0))</f>
        <v/>
      </c>
      <c r="S281" s="6">
        <f>IF(O281="","",Q281+R281)</f>
        <v/>
      </c>
      <c r="T281">
        <f>IF(G281="","",IF(G281&lt;EDATE(TODAY(),-120),"⚠ mais de 10 anos — cortar janela",""))</f>
        <v/>
      </c>
    </row>
    <row r="282">
      <c r="F282" s="6" t="n"/>
      <c r="G282" s="7" t="n"/>
      <c r="H282" s="7" t="n"/>
      <c r="I282">
        <f>IF(OR(G282="",H282=""),"",IF(G282&gt;DATE(2021,3,31),0,DATEDIF(G282,MIN(H282,DATE(2021,3,31)),"m")+1))</f>
        <v/>
      </c>
      <c r="J282">
        <f>IF(OR(G282="",H282=""),"",IF(H282&lt;DATE(2021,4,1),0,DATEDIF(MAX(G282,DATE(2021,4,1)),H282,"m")+1))</f>
        <v/>
      </c>
      <c r="K282" s="6">
        <f>IF(I282="","",I282*F282)</f>
        <v/>
      </c>
      <c r="L282" s="6">
        <f>IF(J282="","",J282*F282*2)</f>
        <v/>
      </c>
      <c r="M282" s="6" t="n"/>
      <c r="N282" s="6" t="n"/>
      <c r="O282" s="6">
        <f>IF(K282="","",MAX(0,K282+L282-N(M282))+N(N282))</f>
        <v/>
      </c>
      <c r="P282" s="8">
        <f>IF(A282="","",0.3)</f>
        <v/>
      </c>
      <c r="Q282" s="6">
        <f>IF(O282="","",O282*P282)</f>
        <v/>
      </c>
      <c r="R282" s="6">
        <f>IF(O282="","",IF(E282="Vara Cível",O282*0.15,0))</f>
        <v/>
      </c>
      <c r="S282" s="6">
        <f>IF(O282="","",Q282+R282)</f>
        <v/>
      </c>
      <c r="T282">
        <f>IF(G282="","",IF(G282&lt;EDATE(TODAY(),-120),"⚠ mais de 10 anos — cortar janela",""))</f>
        <v/>
      </c>
    </row>
    <row r="283">
      <c r="F283" s="6" t="n"/>
      <c r="G283" s="7" t="n"/>
      <c r="H283" s="7" t="n"/>
      <c r="I283">
        <f>IF(OR(G283="",H283=""),"",IF(G283&gt;DATE(2021,3,31),0,DATEDIF(G283,MIN(H283,DATE(2021,3,31)),"m")+1))</f>
        <v/>
      </c>
      <c r="J283">
        <f>IF(OR(G283="",H283=""),"",IF(H283&lt;DATE(2021,4,1),0,DATEDIF(MAX(G283,DATE(2021,4,1)),H283,"m")+1))</f>
        <v/>
      </c>
      <c r="K283" s="6">
        <f>IF(I283="","",I283*F283)</f>
        <v/>
      </c>
      <c r="L283" s="6">
        <f>IF(J283="","",J283*F283*2)</f>
        <v/>
      </c>
      <c r="M283" s="6" t="n"/>
      <c r="N283" s="6" t="n"/>
      <c r="O283" s="6">
        <f>IF(K283="","",MAX(0,K283+L283-N(M283))+N(N283))</f>
        <v/>
      </c>
      <c r="P283" s="8">
        <f>IF(A283="","",0.3)</f>
        <v/>
      </c>
      <c r="Q283" s="6">
        <f>IF(O283="","",O283*P283)</f>
        <v/>
      </c>
      <c r="R283" s="6">
        <f>IF(O283="","",IF(E283="Vara Cível",O283*0.15,0))</f>
        <v/>
      </c>
      <c r="S283" s="6">
        <f>IF(O283="","",Q283+R283)</f>
        <v/>
      </c>
      <c r="T283">
        <f>IF(G283="","",IF(G283&lt;EDATE(TODAY(),-120),"⚠ mais de 10 anos — cortar janela",""))</f>
        <v/>
      </c>
    </row>
    <row r="284">
      <c r="F284" s="6" t="n"/>
      <c r="G284" s="7" t="n"/>
      <c r="H284" s="7" t="n"/>
      <c r="I284">
        <f>IF(OR(G284="",H284=""),"",IF(G284&gt;DATE(2021,3,31),0,DATEDIF(G284,MIN(H284,DATE(2021,3,31)),"m")+1))</f>
        <v/>
      </c>
      <c r="J284">
        <f>IF(OR(G284="",H284=""),"",IF(H284&lt;DATE(2021,4,1),0,DATEDIF(MAX(G284,DATE(2021,4,1)),H284,"m")+1))</f>
        <v/>
      </c>
      <c r="K284" s="6">
        <f>IF(I284="","",I284*F284)</f>
        <v/>
      </c>
      <c r="L284" s="6">
        <f>IF(J284="","",J284*F284*2)</f>
        <v/>
      </c>
      <c r="M284" s="6" t="n"/>
      <c r="N284" s="6" t="n"/>
      <c r="O284" s="6">
        <f>IF(K284="","",MAX(0,K284+L284-N(M284))+N(N284))</f>
        <v/>
      </c>
      <c r="P284" s="8">
        <f>IF(A284="","",0.3)</f>
        <v/>
      </c>
      <c r="Q284" s="6">
        <f>IF(O284="","",O284*P284)</f>
        <v/>
      </c>
      <c r="R284" s="6">
        <f>IF(O284="","",IF(E284="Vara Cível",O284*0.15,0))</f>
        <v/>
      </c>
      <c r="S284" s="6">
        <f>IF(O284="","",Q284+R284)</f>
        <v/>
      </c>
      <c r="T284">
        <f>IF(G284="","",IF(G284&lt;EDATE(TODAY(),-120),"⚠ mais de 10 anos — cortar janela",""))</f>
        <v/>
      </c>
    </row>
    <row r="285">
      <c r="F285" s="6" t="n"/>
      <c r="G285" s="7" t="n"/>
      <c r="H285" s="7" t="n"/>
      <c r="I285">
        <f>IF(OR(G285="",H285=""),"",IF(G285&gt;DATE(2021,3,31),0,DATEDIF(G285,MIN(H285,DATE(2021,3,31)),"m")+1))</f>
        <v/>
      </c>
      <c r="J285">
        <f>IF(OR(G285="",H285=""),"",IF(H285&lt;DATE(2021,4,1),0,DATEDIF(MAX(G285,DATE(2021,4,1)),H285,"m")+1))</f>
        <v/>
      </c>
      <c r="K285" s="6">
        <f>IF(I285="","",I285*F285)</f>
        <v/>
      </c>
      <c r="L285" s="6">
        <f>IF(J285="","",J285*F285*2)</f>
        <v/>
      </c>
      <c r="M285" s="6" t="n"/>
      <c r="N285" s="6" t="n"/>
      <c r="O285" s="6">
        <f>IF(K285="","",MAX(0,K285+L285-N(M285))+N(N285))</f>
        <v/>
      </c>
      <c r="P285" s="8">
        <f>IF(A285="","",0.3)</f>
        <v/>
      </c>
      <c r="Q285" s="6">
        <f>IF(O285="","",O285*P285)</f>
        <v/>
      </c>
      <c r="R285" s="6">
        <f>IF(O285="","",IF(E285="Vara Cível",O285*0.15,0))</f>
        <v/>
      </c>
      <c r="S285" s="6">
        <f>IF(O285="","",Q285+R285)</f>
        <v/>
      </c>
      <c r="T285">
        <f>IF(G285="","",IF(G285&lt;EDATE(TODAY(),-120),"⚠ mais de 10 anos — cortar janela",""))</f>
        <v/>
      </c>
    </row>
    <row r="286">
      <c r="F286" s="6" t="n"/>
      <c r="G286" s="7" t="n"/>
      <c r="H286" s="7" t="n"/>
      <c r="I286">
        <f>IF(OR(G286="",H286=""),"",IF(G286&gt;DATE(2021,3,31),0,DATEDIF(G286,MIN(H286,DATE(2021,3,31)),"m")+1))</f>
        <v/>
      </c>
      <c r="J286">
        <f>IF(OR(G286="",H286=""),"",IF(H286&lt;DATE(2021,4,1),0,DATEDIF(MAX(G286,DATE(2021,4,1)),H286,"m")+1))</f>
        <v/>
      </c>
      <c r="K286" s="6">
        <f>IF(I286="","",I286*F286)</f>
        <v/>
      </c>
      <c r="L286" s="6">
        <f>IF(J286="","",J286*F286*2)</f>
        <v/>
      </c>
      <c r="M286" s="6" t="n"/>
      <c r="N286" s="6" t="n"/>
      <c r="O286" s="6">
        <f>IF(K286="","",MAX(0,K286+L286-N(M286))+N(N286))</f>
        <v/>
      </c>
      <c r="P286" s="8">
        <f>IF(A286="","",0.3)</f>
        <v/>
      </c>
      <c r="Q286" s="6">
        <f>IF(O286="","",O286*P286)</f>
        <v/>
      </c>
      <c r="R286" s="6">
        <f>IF(O286="","",IF(E286="Vara Cível",O286*0.15,0))</f>
        <v/>
      </c>
      <c r="S286" s="6">
        <f>IF(O286="","",Q286+R286)</f>
        <v/>
      </c>
      <c r="T286">
        <f>IF(G286="","",IF(G286&lt;EDATE(TODAY(),-120),"⚠ mais de 10 anos — cortar janela",""))</f>
        <v/>
      </c>
    </row>
    <row r="287">
      <c r="F287" s="6" t="n"/>
      <c r="G287" s="7" t="n"/>
      <c r="H287" s="7" t="n"/>
      <c r="I287">
        <f>IF(OR(G287="",H287=""),"",IF(G287&gt;DATE(2021,3,31),0,DATEDIF(G287,MIN(H287,DATE(2021,3,31)),"m")+1))</f>
        <v/>
      </c>
      <c r="J287">
        <f>IF(OR(G287="",H287=""),"",IF(H287&lt;DATE(2021,4,1),0,DATEDIF(MAX(G287,DATE(2021,4,1)),H287,"m")+1))</f>
        <v/>
      </c>
      <c r="K287" s="6">
        <f>IF(I287="","",I287*F287)</f>
        <v/>
      </c>
      <c r="L287" s="6">
        <f>IF(J287="","",J287*F287*2)</f>
        <v/>
      </c>
      <c r="M287" s="6" t="n"/>
      <c r="N287" s="6" t="n"/>
      <c r="O287" s="6">
        <f>IF(K287="","",MAX(0,K287+L287-N(M287))+N(N287))</f>
        <v/>
      </c>
      <c r="P287" s="8">
        <f>IF(A287="","",0.3)</f>
        <v/>
      </c>
      <c r="Q287" s="6">
        <f>IF(O287="","",O287*P287)</f>
        <v/>
      </c>
      <c r="R287" s="6">
        <f>IF(O287="","",IF(E287="Vara Cível",O287*0.15,0))</f>
        <v/>
      </c>
      <c r="S287" s="6">
        <f>IF(O287="","",Q287+R287)</f>
        <v/>
      </c>
      <c r="T287">
        <f>IF(G287="","",IF(G287&lt;EDATE(TODAY(),-120),"⚠ mais de 10 anos — cortar janela",""))</f>
        <v/>
      </c>
    </row>
    <row r="288">
      <c r="F288" s="6" t="n"/>
      <c r="G288" s="7" t="n"/>
      <c r="H288" s="7" t="n"/>
      <c r="I288">
        <f>IF(OR(G288="",H288=""),"",IF(G288&gt;DATE(2021,3,31),0,DATEDIF(G288,MIN(H288,DATE(2021,3,31)),"m")+1))</f>
        <v/>
      </c>
      <c r="J288">
        <f>IF(OR(G288="",H288=""),"",IF(H288&lt;DATE(2021,4,1),0,DATEDIF(MAX(G288,DATE(2021,4,1)),H288,"m")+1))</f>
        <v/>
      </c>
      <c r="K288" s="6">
        <f>IF(I288="","",I288*F288)</f>
        <v/>
      </c>
      <c r="L288" s="6">
        <f>IF(J288="","",J288*F288*2)</f>
        <v/>
      </c>
      <c r="M288" s="6" t="n"/>
      <c r="N288" s="6" t="n"/>
      <c r="O288" s="6">
        <f>IF(K288="","",MAX(0,K288+L288-N(M288))+N(N288))</f>
        <v/>
      </c>
      <c r="P288" s="8">
        <f>IF(A288="","",0.3)</f>
        <v/>
      </c>
      <c r="Q288" s="6">
        <f>IF(O288="","",O288*P288)</f>
        <v/>
      </c>
      <c r="R288" s="6">
        <f>IF(O288="","",IF(E288="Vara Cível",O288*0.15,0))</f>
        <v/>
      </c>
      <c r="S288" s="6">
        <f>IF(O288="","",Q288+R288)</f>
        <v/>
      </c>
      <c r="T288">
        <f>IF(G288="","",IF(G288&lt;EDATE(TODAY(),-120),"⚠ mais de 10 anos — cortar janela",""))</f>
        <v/>
      </c>
    </row>
    <row r="289">
      <c r="F289" s="6" t="n"/>
      <c r="G289" s="7" t="n"/>
      <c r="H289" s="7" t="n"/>
      <c r="I289">
        <f>IF(OR(G289="",H289=""),"",IF(G289&gt;DATE(2021,3,31),0,DATEDIF(G289,MIN(H289,DATE(2021,3,31)),"m")+1))</f>
        <v/>
      </c>
      <c r="J289">
        <f>IF(OR(G289="",H289=""),"",IF(H289&lt;DATE(2021,4,1),0,DATEDIF(MAX(G289,DATE(2021,4,1)),H289,"m")+1))</f>
        <v/>
      </c>
      <c r="K289" s="6">
        <f>IF(I289="","",I289*F289)</f>
        <v/>
      </c>
      <c r="L289" s="6">
        <f>IF(J289="","",J289*F289*2)</f>
        <v/>
      </c>
      <c r="M289" s="6" t="n"/>
      <c r="N289" s="6" t="n"/>
      <c r="O289" s="6">
        <f>IF(K289="","",MAX(0,K289+L289-N(M289))+N(N289))</f>
        <v/>
      </c>
      <c r="P289" s="8">
        <f>IF(A289="","",0.3)</f>
        <v/>
      </c>
      <c r="Q289" s="6">
        <f>IF(O289="","",O289*P289)</f>
        <v/>
      </c>
      <c r="R289" s="6">
        <f>IF(O289="","",IF(E289="Vara Cível",O289*0.15,0))</f>
        <v/>
      </c>
      <c r="S289" s="6">
        <f>IF(O289="","",Q289+R289)</f>
        <v/>
      </c>
      <c r="T289">
        <f>IF(G289="","",IF(G289&lt;EDATE(TODAY(),-120),"⚠ mais de 10 anos — cortar janela",""))</f>
        <v/>
      </c>
    </row>
    <row r="290">
      <c r="F290" s="6" t="n"/>
      <c r="G290" s="7" t="n"/>
      <c r="H290" s="7" t="n"/>
      <c r="I290">
        <f>IF(OR(G290="",H290=""),"",IF(G290&gt;DATE(2021,3,31),0,DATEDIF(G290,MIN(H290,DATE(2021,3,31)),"m")+1))</f>
        <v/>
      </c>
      <c r="J290">
        <f>IF(OR(G290="",H290=""),"",IF(H290&lt;DATE(2021,4,1),0,DATEDIF(MAX(G290,DATE(2021,4,1)),H290,"m")+1))</f>
        <v/>
      </c>
      <c r="K290" s="6">
        <f>IF(I290="","",I290*F290)</f>
        <v/>
      </c>
      <c r="L290" s="6">
        <f>IF(J290="","",J290*F290*2)</f>
        <v/>
      </c>
      <c r="M290" s="6" t="n"/>
      <c r="N290" s="6" t="n"/>
      <c r="O290" s="6">
        <f>IF(K290="","",MAX(0,K290+L290-N(M290))+N(N290))</f>
        <v/>
      </c>
      <c r="P290" s="8">
        <f>IF(A290="","",0.3)</f>
        <v/>
      </c>
      <c r="Q290" s="6">
        <f>IF(O290="","",O290*P290)</f>
        <v/>
      </c>
      <c r="R290" s="6">
        <f>IF(O290="","",IF(E290="Vara Cível",O290*0.15,0))</f>
        <v/>
      </c>
      <c r="S290" s="6">
        <f>IF(O290="","",Q290+R290)</f>
        <v/>
      </c>
      <c r="T290">
        <f>IF(G290="","",IF(G290&lt;EDATE(TODAY(),-120),"⚠ mais de 10 anos — cortar janela",""))</f>
        <v/>
      </c>
    </row>
    <row r="291">
      <c r="F291" s="6" t="n"/>
      <c r="G291" s="7" t="n"/>
      <c r="H291" s="7" t="n"/>
      <c r="I291">
        <f>IF(OR(G291="",H291=""),"",IF(G291&gt;DATE(2021,3,31),0,DATEDIF(G291,MIN(H291,DATE(2021,3,31)),"m")+1))</f>
        <v/>
      </c>
      <c r="J291">
        <f>IF(OR(G291="",H291=""),"",IF(H291&lt;DATE(2021,4,1),0,DATEDIF(MAX(G291,DATE(2021,4,1)),H291,"m")+1))</f>
        <v/>
      </c>
      <c r="K291" s="6">
        <f>IF(I291="","",I291*F291)</f>
        <v/>
      </c>
      <c r="L291" s="6">
        <f>IF(J291="","",J291*F291*2)</f>
        <v/>
      </c>
      <c r="M291" s="6" t="n"/>
      <c r="N291" s="6" t="n"/>
      <c r="O291" s="6">
        <f>IF(K291="","",MAX(0,K291+L291-N(M291))+N(N291))</f>
        <v/>
      </c>
      <c r="P291" s="8">
        <f>IF(A291="","",0.3)</f>
        <v/>
      </c>
      <c r="Q291" s="6">
        <f>IF(O291="","",O291*P291)</f>
        <v/>
      </c>
      <c r="R291" s="6">
        <f>IF(O291="","",IF(E291="Vara Cível",O291*0.15,0))</f>
        <v/>
      </c>
      <c r="S291" s="6">
        <f>IF(O291="","",Q291+R291)</f>
        <v/>
      </c>
      <c r="T291">
        <f>IF(G291="","",IF(G291&lt;EDATE(TODAY(),-120),"⚠ mais de 10 anos — cortar janela",""))</f>
        <v/>
      </c>
    </row>
    <row r="292">
      <c r="F292" s="6" t="n"/>
      <c r="G292" s="7" t="n"/>
      <c r="H292" s="7" t="n"/>
      <c r="I292">
        <f>IF(OR(G292="",H292=""),"",IF(G292&gt;DATE(2021,3,31),0,DATEDIF(G292,MIN(H292,DATE(2021,3,31)),"m")+1))</f>
        <v/>
      </c>
      <c r="J292">
        <f>IF(OR(G292="",H292=""),"",IF(H292&lt;DATE(2021,4,1),0,DATEDIF(MAX(G292,DATE(2021,4,1)),H292,"m")+1))</f>
        <v/>
      </c>
      <c r="K292" s="6">
        <f>IF(I292="","",I292*F292)</f>
        <v/>
      </c>
      <c r="L292" s="6">
        <f>IF(J292="","",J292*F292*2)</f>
        <v/>
      </c>
      <c r="M292" s="6" t="n"/>
      <c r="N292" s="6" t="n"/>
      <c r="O292" s="6">
        <f>IF(K292="","",MAX(0,K292+L292-N(M292))+N(N292))</f>
        <v/>
      </c>
      <c r="P292" s="8">
        <f>IF(A292="","",0.3)</f>
        <v/>
      </c>
      <c r="Q292" s="6">
        <f>IF(O292="","",O292*P292)</f>
        <v/>
      </c>
      <c r="R292" s="6">
        <f>IF(O292="","",IF(E292="Vara Cível",O292*0.15,0))</f>
        <v/>
      </c>
      <c r="S292" s="6">
        <f>IF(O292="","",Q292+R292)</f>
        <v/>
      </c>
      <c r="T292">
        <f>IF(G292="","",IF(G292&lt;EDATE(TODAY(),-120),"⚠ mais de 10 anos — cortar janela",""))</f>
        <v/>
      </c>
    </row>
    <row r="293">
      <c r="F293" s="6" t="n"/>
      <c r="G293" s="7" t="n"/>
      <c r="H293" s="7" t="n"/>
      <c r="I293">
        <f>IF(OR(G293="",H293=""),"",IF(G293&gt;DATE(2021,3,31),0,DATEDIF(G293,MIN(H293,DATE(2021,3,31)),"m")+1))</f>
        <v/>
      </c>
      <c r="J293">
        <f>IF(OR(G293="",H293=""),"",IF(H293&lt;DATE(2021,4,1),0,DATEDIF(MAX(G293,DATE(2021,4,1)),H293,"m")+1))</f>
        <v/>
      </c>
      <c r="K293" s="6">
        <f>IF(I293="","",I293*F293)</f>
        <v/>
      </c>
      <c r="L293" s="6">
        <f>IF(J293="","",J293*F293*2)</f>
        <v/>
      </c>
      <c r="M293" s="6" t="n"/>
      <c r="N293" s="6" t="n"/>
      <c r="O293" s="6">
        <f>IF(K293="","",MAX(0,K293+L293-N(M293))+N(N293))</f>
        <v/>
      </c>
      <c r="P293" s="8">
        <f>IF(A293="","",0.3)</f>
        <v/>
      </c>
      <c r="Q293" s="6">
        <f>IF(O293="","",O293*P293)</f>
        <v/>
      </c>
      <c r="R293" s="6">
        <f>IF(O293="","",IF(E293="Vara Cível",O293*0.15,0))</f>
        <v/>
      </c>
      <c r="S293" s="6">
        <f>IF(O293="","",Q293+R293)</f>
        <v/>
      </c>
      <c r="T293">
        <f>IF(G293="","",IF(G293&lt;EDATE(TODAY(),-120),"⚠ mais de 10 anos — cortar janela",""))</f>
        <v/>
      </c>
    </row>
    <row r="294">
      <c r="F294" s="6" t="n"/>
      <c r="G294" s="7" t="n"/>
      <c r="H294" s="7" t="n"/>
      <c r="I294">
        <f>IF(OR(G294="",H294=""),"",IF(G294&gt;DATE(2021,3,31),0,DATEDIF(G294,MIN(H294,DATE(2021,3,31)),"m")+1))</f>
        <v/>
      </c>
      <c r="J294">
        <f>IF(OR(G294="",H294=""),"",IF(H294&lt;DATE(2021,4,1),0,DATEDIF(MAX(G294,DATE(2021,4,1)),H294,"m")+1))</f>
        <v/>
      </c>
      <c r="K294" s="6">
        <f>IF(I294="","",I294*F294)</f>
        <v/>
      </c>
      <c r="L294" s="6">
        <f>IF(J294="","",J294*F294*2)</f>
        <v/>
      </c>
      <c r="M294" s="6" t="n"/>
      <c r="N294" s="6" t="n"/>
      <c r="O294" s="6">
        <f>IF(K294="","",MAX(0,K294+L294-N(M294))+N(N294))</f>
        <v/>
      </c>
      <c r="P294" s="8">
        <f>IF(A294="","",0.3)</f>
        <v/>
      </c>
      <c r="Q294" s="6">
        <f>IF(O294="","",O294*P294)</f>
        <v/>
      </c>
      <c r="R294" s="6">
        <f>IF(O294="","",IF(E294="Vara Cível",O294*0.15,0))</f>
        <v/>
      </c>
      <c r="S294" s="6">
        <f>IF(O294="","",Q294+R294)</f>
        <v/>
      </c>
      <c r="T294">
        <f>IF(G294="","",IF(G294&lt;EDATE(TODAY(),-120),"⚠ mais de 10 anos — cortar janela",""))</f>
        <v/>
      </c>
    </row>
    <row r="295">
      <c r="F295" s="6" t="n"/>
      <c r="G295" s="7" t="n"/>
      <c r="H295" s="7" t="n"/>
      <c r="I295">
        <f>IF(OR(G295="",H295=""),"",IF(G295&gt;DATE(2021,3,31),0,DATEDIF(G295,MIN(H295,DATE(2021,3,31)),"m")+1))</f>
        <v/>
      </c>
      <c r="J295">
        <f>IF(OR(G295="",H295=""),"",IF(H295&lt;DATE(2021,4,1),0,DATEDIF(MAX(G295,DATE(2021,4,1)),H295,"m")+1))</f>
        <v/>
      </c>
      <c r="K295" s="6">
        <f>IF(I295="","",I295*F295)</f>
        <v/>
      </c>
      <c r="L295" s="6">
        <f>IF(J295="","",J295*F295*2)</f>
        <v/>
      </c>
      <c r="M295" s="6" t="n"/>
      <c r="N295" s="6" t="n"/>
      <c r="O295" s="6">
        <f>IF(K295="","",MAX(0,K295+L295-N(M295))+N(N295))</f>
        <v/>
      </c>
      <c r="P295" s="8">
        <f>IF(A295="","",0.3)</f>
        <v/>
      </c>
      <c r="Q295" s="6">
        <f>IF(O295="","",O295*P295)</f>
        <v/>
      </c>
      <c r="R295" s="6">
        <f>IF(O295="","",IF(E295="Vara Cível",O295*0.15,0))</f>
        <v/>
      </c>
      <c r="S295" s="6">
        <f>IF(O295="","",Q295+R295)</f>
        <v/>
      </c>
      <c r="T295">
        <f>IF(G295="","",IF(G295&lt;EDATE(TODAY(),-120),"⚠ mais de 10 anos — cortar janela",""))</f>
        <v/>
      </c>
    </row>
    <row r="296">
      <c r="F296" s="6" t="n"/>
      <c r="G296" s="7" t="n"/>
      <c r="H296" s="7" t="n"/>
      <c r="I296">
        <f>IF(OR(G296="",H296=""),"",IF(G296&gt;DATE(2021,3,31),0,DATEDIF(G296,MIN(H296,DATE(2021,3,31)),"m")+1))</f>
        <v/>
      </c>
      <c r="J296">
        <f>IF(OR(G296="",H296=""),"",IF(H296&lt;DATE(2021,4,1),0,DATEDIF(MAX(G296,DATE(2021,4,1)),H296,"m")+1))</f>
        <v/>
      </c>
      <c r="K296" s="6">
        <f>IF(I296="","",I296*F296)</f>
        <v/>
      </c>
      <c r="L296" s="6">
        <f>IF(J296="","",J296*F296*2)</f>
        <v/>
      </c>
      <c r="M296" s="6" t="n"/>
      <c r="N296" s="6" t="n"/>
      <c r="O296" s="6">
        <f>IF(K296="","",MAX(0,K296+L296-N(M296))+N(N296))</f>
        <v/>
      </c>
      <c r="P296" s="8">
        <f>IF(A296="","",0.3)</f>
        <v/>
      </c>
      <c r="Q296" s="6">
        <f>IF(O296="","",O296*P296)</f>
        <v/>
      </c>
      <c r="R296" s="6">
        <f>IF(O296="","",IF(E296="Vara Cível",O296*0.15,0))</f>
        <v/>
      </c>
      <c r="S296" s="6">
        <f>IF(O296="","",Q296+R296)</f>
        <v/>
      </c>
      <c r="T296">
        <f>IF(G296="","",IF(G296&lt;EDATE(TODAY(),-120),"⚠ mais de 10 anos — cortar janela",""))</f>
        <v/>
      </c>
    </row>
    <row r="297">
      <c r="F297" s="6" t="n"/>
      <c r="G297" s="7" t="n"/>
      <c r="H297" s="7" t="n"/>
      <c r="I297">
        <f>IF(OR(G297="",H297=""),"",IF(G297&gt;DATE(2021,3,31),0,DATEDIF(G297,MIN(H297,DATE(2021,3,31)),"m")+1))</f>
        <v/>
      </c>
      <c r="J297">
        <f>IF(OR(G297="",H297=""),"",IF(H297&lt;DATE(2021,4,1),0,DATEDIF(MAX(G297,DATE(2021,4,1)),H297,"m")+1))</f>
        <v/>
      </c>
      <c r="K297" s="6">
        <f>IF(I297="","",I297*F297)</f>
        <v/>
      </c>
      <c r="L297" s="6">
        <f>IF(J297="","",J297*F297*2)</f>
        <v/>
      </c>
      <c r="M297" s="6" t="n"/>
      <c r="N297" s="6" t="n"/>
      <c r="O297" s="6">
        <f>IF(K297="","",MAX(0,K297+L297-N(M297))+N(N297))</f>
        <v/>
      </c>
      <c r="P297" s="8">
        <f>IF(A297="","",0.3)</f>
        <v/>
      </c>
      <c r="Q297" s="6">
        <f>IF(O297="","",O297*P297)</f>
        <v/>
      </c>
      <c r="R297" s="6">
        <f>IF(O297="","",IF(E297="Vara Cível",O297*0.15,0))</f>
        <v/>
      </c>
      <c r="S297" s="6">
        <f>IF(O297="","",Q297+R297)</f>
        <v/>
      </c>
      <c r="T297">
        <f>IF(G297="","",IF(G297&lt;EDATE(TODAY(),-120),"⚠ mais de 10 anos — cortar janela",""))</f>
        <v/>
      </c>
    </row>
    <row r="298">
      <c r="F298" s="6" t="n"/>
      <c r="G298" s="7" t="n"/>
      <c r="H298" s="7" t="n"/>
      <c r="I298">
        <f>IF(OR(G298="",H298=""),"",IF(G298&gt;DATE(2021,3,31),0,DATEDIF(G298,MIN(H298,DATE(2021,3,31)),"m")+1))</f>
        <v/>
      </c>
      <c r="J298">
        <f>IF(OR(G298="",H298=""),"",IF(H298&lt;DATE(2021,4,1),0,DATEDIF(MAX(G298,DATE(2021,4,1)),H298,"m")+1))</f>
        <v/>
      </c>
      <c r="K298" s="6">
        <f>IF(I298="","",I298*F298)</f>
        <v/>
      </c>
      <c r="L298" s="6">
        <f>IF(J298="","",J298*F298*2)</f>
        <v/>
      </c>
      <c r="M298" s="6" t="n"/>
      <c r="N298" s="6" t="n"/>
      <c r="O298" s="6">
        <f>IF(K298="","",MAX(0,K298+L298-N(M298))+N(N298))</f>
        <v/>
      </c>
      <c r="P298" s="8">
        <f>IF(A298="","",0.3)</f>
        <v/>
      </c>
      <c r="Q298" s="6">
        <f>IF(O298="","",O298*P298)</f>
        <v/>
      </c>
      <c r="R298" s="6">
        <f>IF(O298="","",IF(E298="Vara Cível",O298*0.15,0))</f>
        <v/>
      </c>
      <c r="S298" s="6">
        <f>IF(O298="","",Q298+R298)</f>
        <v/>
      </c>
      <c r="T298">
        <f>IF(G298="","",IF(G298&lt;EDATE(TODAY(),-120),"⚠ mais de 10 anos — cortar janela",""))</f>
        <v/>
      </c>
    </row>
    <row r="299">
      <c r="F299" s="6" t="n"/>
      <c r="G299" s="7" t="n"/>
      <c r="H299" s="7" t="n"/>
      <c r="I299">
        <f>IF(OR(G299="",H299=""),"",IF(G299&gt;DATE(2021,3,31),0,DATEDIF(G299,MIN(H299,DATE(2021,3,31)),"m")+1))</f>
        <v/>
      </c>
      <c r="J299">
        <f>IF(OR(G299="",H299=""),"",IF(H299&lt;DATE(2021,4,1),0,DATEDIF(MAX(G299,DATE(2021,4,1)),H299,"m")+1))</f>
        <v/>
      </c>
      <c r="K299" s="6">
        <f>IF(I299="","",I299*F299)</f>
        <v/>
      </c>
      <c r="L299" s="6">
        <f>IF(J299="","",J299*F299*2)</f>
        <v/>
      </c>
      <c r="M299" s="6" t="n"/>
      <c r="N299" s="6" t="n"/>
      <c r="O299" s="6">
        <f>IF(K299="","",MAX(0,K299+L299-N(M299))+N(N299))</f>
        <v/>
      </c>
      <c r="P299" s="8">
        <f>IF(A299="","",0.3)</f>
        <v/>
      </c>
      <c r="Q299" s="6">
        <f>IF(O299="","",O299*P299)</f>
        <v/>
      </c>
      <c r="R299" s="6">
        <f>IF(O299="","",IF(E299="Vara Cível",O299*0.15,0))</f>
        <v/>
      </c>
      <c r="S299" s="6">
        <f>IF(O299="","",Q299+R299)</f>
        <v/>
      </c>
      <c r="T299">
        <f>IF(G299="","",IF(G299&lt;EDATE(TODAY(),-120),"⚠ mais de 10 anos — cortar janela",""))</f>
        <v/>
      </c>
    </row>
    <row r="300">
      <c r="F300" s="6" t="n"/>
      <c r="G300" s="7" t="n"/>
      <c r="H300" s="7" t="n"/>
      <c r="I300">
        <f>IF(OR(G300="",H300=""),"",IF(G300&gt;DATE(2021,3,31),0,DATEDIF(G300,MIN(H300,DATE(2021,3,31)),"m")+1))</f>
        <v/>
      </c>
      <c r="J300">
        <f>IF(OR(G300="",H300=""),"",IF(H300&lt;DATE(2021,4,1),0,DATEDIF(MAX(G300,DATE(2021,4,1)),H300,"m")+1))</f>
        <v/>
      </c>
      <c r="K300" s="6">
        <f>IF(I300="","",I300*F300)</f>
        <v/>
      </c>
      <c r="L300" s="6">
        <f>IF(J300="","",J300*F300*2)</f>
        <v/>
      </c>
      <c r="M300" s="6" t="n"/>
      <c r="N300" s="6" t="n"/>
      <c r="O300" s="6">
        <f>IF(K300="","",MAX(0,K300+L300-N(M300))+N(N300))</f>
        <v/>
      </c>
      <c r="P300" s="8">
        <f>IF(A300="","",0.3)</f>
        <v/>
      </c>
      <c r="Q300" s="6">
        <f>IF(O300="","",O300*P300)</f>
        <v/>
      </c>
      <c r="R300" s="6">
        <f>IF(O300="","",IF(E300="Vara Cível",O300*0.15,0))</f>
        <v/>
      </c>
      <c r="S300" s="6">
        <f>IF(O300="","",Q300+R300)</f>
        <v/>
      </c>
      <c r="T300">
        <f>IF(G300="","",IF(G300&lt;EDATE(TODAY(),-120),"⚠ mais de 10 anos — cortar janela",""))</f>
        <v/>
      </c>
    </row>
    <row r="301">
      <c r="F301" s="6" t="n"/>
      <c r="G301" s="7" t="n"/>
      <c r="H301" s="7" t="n"/>
      <c r="I301">
        <f>IF(OR(G301="",H301=""),"",IF(G301&gt;DATE(2021,3,31),0,DATEDIF(G301,MIN(H301,DATE(2021,3,31)),"m")+1))</f>
        <v/>
      </c>
      <c r="J301">
        <f>IF(OR(G301="",H301=""),"",IF(H301&lt;DATE(2021,4,1),0,DATEDIF(MAX(G301,DATE(2021,4,1)),H301,"m")+1))</f>
        <v/>
      </c>
      <c r="K301" s="6">
        <f>IF(I301="","",I301*F301)</f>
        <v/>
      </c>
      <c r="L301" s="6">
        <f>IF(J301="","",J301*F301*2)</f>
        <v/>
      </c>
      <c r="M301" s="6" t="n"/>
      <c r="N301" s="6" t="n"/>
      <c r="O301" s="6">
        <f>IF(K301="","",MAX(0,K301+L301-N(M301))+N(N301))</f>
        <v/>
      </c>
      <c r="P301" s="8">
        <f>IF(A301="","",0.3)</f>
        <v/>
      </c>
      <c r="Q301" s="6">
        <f>IF(O301="","",O301*P301)</f>
        <v/>
      </c>
      <c r="R301" s="6">
        <f>IF(O301="","",IF(E301="Vara Cível",O301*0.15,0))</f>
        <v/>
      </c>
      <c r="S301" s="6">
        <f>IF(O301="","",Q301+R301)</f>
        <v/>
      </c>
      <c r="T301">
        <f>IF(G301="","",IF(G301&lt;EDATE(TODAY(),-120),"⚠ mais de 10 anos — cortar janela",""))</f>
        <v/>
      </c>
    </row>
    <row r="302">
      <c r="F302" s="6" t="n"/>
      <c r="G302" s="7" t="n"/>
      <c r="H302" s="7" t="n"/>
      <c r="I302">
        <f>IF(OR(G302="",H302=""),"",IF(G302&gt;DATE(2021,3,31),0,DATEDIF(G302,MIN(H302,DATE(2021,3,31)),"m")+1))</f>
        <v/>
      </c>
      <c r="J302">
        <f>IF(OR(G302="",H302=""),"",IF(H302&lt;DATE(2021,4,1),0,DATEDIF(MAX(G302,DATE(2021,4,1)),H302,"m")+1))</f>
        <v/>
      </c>
      <c r="K302" s="6">
        <f>IF(I302="","",I302*F302)</f>
        <v/>
      </c>
      <c r="L302" s="6">
        <f>IF(J302="","",J302*F302*2)</f>
        <v/>
      </c>
      <c r="M302" s="6" t="n"/>
      <c r="N302" s="6" t="n"/>
      <c r="O302" s="6">
        <f>IF(K302="","",MAX(0,K302+L302-N(M302))+N(N302))</f>
        <v/>
      </c>
      <c r="P302" s="8">
        <f>IF(A302="","",0.3)</f>
        <v/>
      </c>
      <c r="Q302" s="6">
        <f>IF(O302="","",O302*P302)</f>
        <v/>
      </c>
      <c r="R302" s="6">
        <f>IF(O302="","",IF(E302="Vara Cível",O302*0.15,0))</f>
        <v/>
      </c>
      <c r="S302" s="6">
        <f>IF(O302="","",Q302+R302)</f>
        <v/>
      </c>
      <c r="T302">
        <f>IF(G302="","",IF(G302&lt;EDATE(TODAY(),-120),"⚠ mais de 10 anos — cortar janela",""))</f>
        <v/>
      </c>
    </row>
  </sheetData>
  <dataValidations count="4">
    <dataValidation sqref="B2:B302" showDropDown="0" showInputMessage="0" showErrorMessage="0" allowBlank="1" type="list">
      <formula1>=Listas!$A$1:$A$7</formula1>
    </dataValidation>
    <dataValidation sqref="E2:E302" showDropDown="0" showInputMessage="0" showErrorMessage="0" allowBlank="1" type="list">
      <formula1>=Listas!$B$1:$B$2</formula1>
    </dataValidation>
    <dataValidation sqref="U2:U302" showDropDown="0" showInputMessage="0" showErrorMessage="0" allowBlank="1" type="list">
      <formula1>=Listas!$C$1:$C$14</formula1>
    </dataValidation>
    <dataValidation sqref="N2:N302" showDropDown="0" showInputMessage="0" showErrorMessage="0" allowBlank="1" type="list">
      <formula1>=Listas!$D$1:$D$6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PAINEL DA OPERAÇÃO</t>
        </is>
      </c>
    </row>
    <row r="3">
      <c r="A3" s="10" t="inlineStr">
        <is>
          <t>Por status</t>
        </is>
      </c>
    </row>
    <row r="4">
      <c r="A4" s="11" t="inlineStr">
        <is>
          <t>Status</t>
        </is>
      </c>
      <c r="B4" s="11" t="inlineStr">
        <is>
          <t>Ações</t>
        </is>
      </c>
      <c r="C4" s="11" t="inlineStr">
        <is>
          <t>Proveito líquido (R$)</t>
        </is>
      </c>
      <c r="D4" s="11" t="inlineStr">
        <is>
          <t>Honorários proj. (R$)</t>
        </is>
      </c>
    </row>
    <row r="5">
      <c r="A5" t="inlineStr">
        <is>
          <t>Triagem</t>
        </is>
      </c>
      <c r="B5">
        <f>COUNTIF(Carteira!U:U,A5)</f>
        <v/>
      </c>
      <c r="C5" s="6">
        <f>SUMIF(Carteira!U:U,A5,Carteira!O:O)</f>
        <v/>
      </c>
      <c r="D5" s="6">
        <f>SUMIF(Carteira!U:U,A5,Carteira!S:S)</f>
        <v/>
      </c>
    </row>
    <row r="6">
      <c r="A6" t="inlineStr">
        <is>
          <t>Docs pendentes</t>
        </is>
      </c>
      <c r="B6">
        <f>COUNTIF(Carteira!U:U,A6)</f>
        <v/>
      </c>
      <c r="C6" s="6">
        <f>SUMIF(Carteira!U:U,A6,Carteira!O:O)</f>
        <v/>
      </c>
      <c r="D6" s="6">
        <f>SUMIF(Carteira!U:U,A6,Carteira!S:S)</f>
        <v/>
      </c>
    </row>
    <row r="7">
      <c r="A7" t="inlineStr">
        <is>
          <t>Req. administrativo</t>
        </is>
      </c>
      <c r="B7">
        <f>COUNTIF(Carteira!U:U,A7)</f>
        <v/>
      </c>
      <c r="C7" s="6">
        <f>SUMIF(Carteira!U:U,A7,Carteira!O:O)</f>
        <v/>
      </c>
      <c r="D7" s="6">
        <f>SUMIF(Carteira!U:U,A7,Carteira!S:S)</f>
        <v/>
      </c>
    </row>
    <row r="8">
      <c r="A8" t="inlineStr">
        <is>
          <t>Pronta p/ ajuizar</t>
        </is>
      </c>
      <c r="B8">
        <f>COUNTIF(Carteira!U:U,A8)</f>
        <v/>
      </c>
      <c r="C8" s="6">
        <f>SUMIF(Carteira!U:U,A8,Carteira!O:O)</f>
        <v/>
      </c>
      <c r="D8" s="6">
        <f>SUMIF(Carteira!U:U,A8,Carteira!S:S)</f>
        <v/>
      </c>
    </row>
    <row r="9">
      <c r="A9" t="inlineStr">
        <is>
          <t>Ajuizada</t>
        </is>
      </c>
      <c r="B9">
        <f>COUNTIF(Carteira!U:U,A9)</f>
        <v/>
      </c>
      <c r="C9" s="6">
        <f>SUMIF(Carteira!U:U,A9,Carteira!O:O)</f>
        <v/>
      </c>
      <c r="D9" s="6">
        <f>SUMIF(Carteira!U:U,A9,Carteira!S:S)</f>
        <v/>
      </c>
    </row>
    <row r="10">
      <c r="A10" t="inlineStr">
        <is>
          <t>Liminar deferida</t>
        </is>
      </c>
      <c r="B10">
        <f>COUNTIF(Carteira!U:U,A10)</f>
        <v/>
      </c>
      <c r="C10" s="6">
        <f>SUMIF(Carteira!U:U,A10,Carteira!O:O)</f>
        <v/>
      </c>
      <c r="D10" s="6">
        <f>SUMIF(Carteira!U:U,A10,Carteira!S:S)</f>
        <v/>
      </c>
    </row>
    <row r="11">
      <c r="A11" t="inlineStr">
        <is>
          <t>Contestada</t>
        </is>
      </c>
      <c r="B11">
        <f>COUNTIF(Carteira!U:U,A11)</f>
        <v/>
      </c>
      <c r="C11" s="6">
        <f>SUMIF(Carteira!U:U,A11,Carteira!O:O)</f>
        <v/>
      </c>
      <c r="D11" s="6">
        <f>SUMIF(Carteira!U:U,A11,Carteira!S:S)</f>
        <v/>
      </c>
    </row>
    <row r="12">
      <c r="A12" t="inlineStr">
        <is>
          <t>Sentença procedente</t>
        </is>
      </c>
      <c r="B12">
        <f>COUNTIF(Carteira!U:U,A12)</f>
        <v/>
      </c>
      <c r="C12" s="6">
        <f>SUMIF(Carteira!U:U,A12,Carteira!O:O)</f>
        <v/>
      </c>
      <c r="D12" s="6">
        <f>SUMIF(Carteira!U:U,A12,Carteira!S:S)</f>
        <v/>
      </c>
    </row>
    <row r="13">
      <c r="A13" t="inlineStr">
        <is>
          <t>Sentença improcedente</t>
        </is>
      </c>
      <c r="B13">
        <f>COUNTIF(Carteira!U:U,A13)</f>
        <v/>
      </c>
      <c r="C13" s="6">
        <f>SUMIF(Carteira!U:U,A13,Carteira!O:O)</f>
        <v/>
      </c>
      <c r="D13" s="6">
        <f>SUMIF(Carteira!U:U,A13,Carteira!S:S)</f>
        <v/>
      </c>
    </row>
    <row r="14">
      <c r="A14" t="inlineStr">
        <is>
          <t>Recurso</t>
        </is>
      </c>
      <c r="B14">
        <f>COUNTIF(Carteira!U:U,A14)</f>
        <v/>
      </c>
      <c r="C14" s="6">
        <f>SUMIF(Carteira!U:U,A14,Carteira!O:O)</f>
        <v/>
      </c>
      <c r="D14" s="6">
        <f>SUMIF(Carteira!U:U,A14,Carteira!S:S)</f>
        <v/>
      </c>
    </row>
    <row r="15">
      <c r="A15" t="inlineStr">
        <is>
          <t>Acordo</t>
        </is>
      </c>
      <c r="B15">
        <f>COUNTIF(Carteira!U:U,A15)</f>
        <v/>
      </c>
      <c r="C15" s="6">
        <f>SUMIF(Carteira!U:U,A15,Carteira!O:O)</f>
        <v/>
      </c>
      <c r="D15" s="6">
        <f>SUMIF(Carteira!U:U,A15,Carteira!S:S)</f>
        <v/>
      </c>
    </row>
    <row r="16">
      <c r="A16" t="inlineStr">
        <is>
          <t>Cumprimento</t>
        </is>
      </c>
      <c r="B16">
        <f>COUNTIF(Carteira!U:U,A16)</f>
        <v/>
      </c>
      <c r="C16" s="6">
        <f>SUMIF(Carteira!U:U,A16,Carteira!O:O)</f>
        <v/>
      </c>
      <c r="D16" s="6">
        <f>SUMIF(Carteira!U:U,A16,Carteira!S:S)</f>
        <v/>
      </c>
    </row>
    <row r="17">
      <c r="A17" t="inlineStr">
        <is>
          <t>Encerrada — recebida</t>
        </is>
      </c>
      <c r="B17">
        <f>COUNTIF(Carteira!U:U,A17)</f>
        <v/>
      </c>
      <c r="C17" s="6">
        <f>SUMIF(Carteira!U:U,A17,Carteira!O:O)</f>
        <v/>
      </c>
      <c r="D17" s="6">
        <f>SUMIF(Carteira!U:U,A17,Carteira!S:S)</f>
        <v/>
      </c>
    </row>
    <row r="18">
      <c r="A18" t="inlineStr">
        <is>
          <t>Arquivada/Inviável</t>
        </is>
      </c>
      <c r="B18">
        <f>COUNTIF(Carteira!U:U,A18)</f>
        <v/>
      </c>
      <c r="C18" s="6">
        <f>SUMIF(Carteira!U:U,A18,Carteira!O:O)</f>
        <v/>
      </c>
      <c r="D18" s="6">
        <f>SUMIF(Carteira!U:U,A18,Carteira!S:S)</f>
        <v/>
      </c>
    </row>
    <row r="21">
      <c r="A21" s="10" t="inlineStr">
        <is>
          <t>Por tese</t>
        </is>
      </c>
    </row>
    <row r="22">
      <c r="A22" s="11" t="inlineStr">
        <is>
          <t>Tese</t>
        </is>
      </c>
      <c r="B22" s="11" t="inlineStr">
        <is>
          <t>Ações</t>
        </is>
      </c>
      <c r="C22" s="11" t="inlineStr">
        <is>
          <t>Proveito (R$)</t>
        </is>
      </c>
      <c r="D22" s="11" t="inlineStr">
        <is>
          <t>Honorários (R$)</t>
        </is>
      </c>
    </row>
    <row r="23">
      <c r="A23" t="inlineStr">
        <is>
          <t>T1 Consignado fraudado</t>
        </is>
      </c>
      <c r="B23">
        <f>COUNTIF(Carteira!B:B,A23)</f>
        <v/>
      </c>
      <c r="C23" s="6">
        <f>SUMIF(Carteira!B:B,A23,Carteira!O:O)</f>
        <v/>
      </c>
      <c r="D23" s="6">
        <f>SUMIF(Carteira!B:B,A23,Carteira!S:S)</f>
        <v/>
      </c>
    </row>
    <row r="24">
      <c r="A24" t="inlineStr">
        <is>
          <t>T2 Prestamista</t>
        </is>
      </c>
      <c r="B24">
        <f>COUNTIF(Carteira!B:B,A24)</f>
        <v/>
      </c>
      <c r="C24" s="6">
        <f>SUMIF(Carteira!B:B,A24,Carteira!O:O)</f>
        <v/>
      </c>
      <c r="D24" s="6">
        <f>SUMIF(Carteira!B:B,A24,Carteira!S:S)</f>
        <v/>
      </c>
    </row>
    <row r="25">
      <c r="A25" t="inlineStr">
        <is>
          <t>T3 RMC/RCC nulidade</t>
        </is>
      </c>
      <c r="B25">
        <f>COUNTIF(Carteira!B:B,A25)</f>
        <v/>
      </c>
      <c r="C25" s="6">
        <f>SUMIF(Carteira!B:B,A25,Carteira!O:O)</f>
        <v/>
      </c>
      <c r="D25" s="6">
        <f>SUMIF(Carteira!B:B,A25,Carteira!S:S)</f>
        <v/>
      </c>
    </row>
    <row r="26">
      <c r="A26" t="inlineStr">
        <is>
          <t>T4 Conversão RMC/RCC</t>
        </is>
      </c>
      <c r="B26">
        <f>COUNTIF(Carteira!B:B,A26)</f>
        <v/>
      </c>
      <c r="C26" s="6">
        <f>SUMIF(Carteira!B:B,A26,Carteira!O:O)</f>
        <v/>
      </c>
      <c r="D26" s="6">
        <f>SUMIF(Carteira!B:B,A26,Carteira!S:S)</f>
        <v/>
      </c>
    </row>
    <row r="27">
      <c r="A27" t="inlineStr">
        <is>
          <t>T5 Juros pessoais</t>
        </is>
      </c>
      <c r="B27">
        <f>COUNTIF(Carteira!B:B,A27)</f>
        <v/>
      </c>
      <c r="C27" s="6">
        <f>SUMIF(Carteira!B:B,A27,Carteira!O:O)</f>
        <v/>
      </c>
      <c r="D27" s="6">
        <f>SUMIF(Carteira!B:B,A27,Carteira!S:S)</f>
        <v/>
      </c>
    </row>
    <row r="28">
      <c r="A28" t="inlineStr">
        <is>
          <t>T6 Financ. veículo</t>
        </is>
      </c>
      <c r="B28">
        <f>COUNTIF(Carteira!B:B,A28)</f>
        <v/>
      </c>
      <c r="C28" s="6">
        <f>SUMIF(Carteira!B:B,A28,Carteira!O:O)</f>
        <v/>
      </c>
      <c r="D28" s="6">
        <f>SUMIF(Carteira!B:B,A28,Carteira!S:S)</f>
        <v/>
      </c>
    </row>
    <row r="29">
      <c r="A29" t="inlineStr">
        <is>
          <t>T7 Descontos em conta</t>
        </is>
      </c>
      <c r="B29">
        <f>COUNTIF(Carteira!B:B,A29)</f>
        <v/>
      </c>
      <c r="C29" s="6">
        <f>SUMIF(Carteira!B:B,A29,Carteira!O:O)</f>
        <v/>
      </c>
      <c r="D29" s="6">
        <f>SUMIF(Carteira!B:B,A29,Carteira!S:S)</f>
        <v/>
      </c>
    </row>
    <row r="31">
      <c r="A31" s="12" t="inlineStr">
        <is>
          <t>TOTAL GERAL</t>
        </is>
      </c>
      <c r="B31">
        <f>SUMPRODUCT(--(Carteira!A2:A302&lt;&gt;""))</f>
        <v/>
      </c>
      <c r="C31" s="6">
        <f>SUM(Carteira!O2:O302)</f>
        <v/>
      </c>
      <c r="D31" s="6">
        <f>SUM(Carteira!S2:S302)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50" customWidth="1" min="3" max="3"/>
  </cols>
  <sheetData>
    <row r="1">
      <c r="A1" s="9" t="inlineStr">
        <is>
          <t>TAXAS MÉDIAS BACEN (API SGS — funciona no Google Sheets)</t>
        </is>
      </c>
    </row>
    <row r="2" ht="45" customHeight="1">
      <c r="A2" s="13" t="inlineStr">
        <is>
          <t>Preencha o código da série da modalidade (valide em bcb.gov.br/estatisticas/txjuros) e a fórmula IMPORTDATA busca o último valor. Compare: taxa do contrato &gt; 1,5 × média = abusiva (REsp 1.061.530/RS). Se aparecer erro no Excel, ignore — use após converter em Planilha Google.</t>
        </is>
      </c>
    </row>
    <row r="4">
      <c r="A4" s="11" t="inlineStr">
        <is>
          <t>Modalidade (edite)</t>
        </is>
      </c>
      <c r="B4" s="11" t="inlineStr">
        <is>
          <t>Série SGS</t>
        </is>
      </c>
      <c r="C4" s="11" t="inlineStr">
        <is>
          <t>Último valor divulgado</t>
        </is>
      </c>
    </row>
    <row r="5">
      <c r="A5" t="inlineStr">
        <is>
          <t>Crédito pessoal não consignado — PF (% a.m.) [CONFIRA a série]</t>
        </is>
      </c>
      <c r="B5" t="inlineStr"/>
      <c r="C5">
        <f>IF(B5="","← informe a série",IFERROR(INDEX(IMPORTDATA("https://api.bcb.gov.br/dados/serie/bcdata.sgs."&amp;B5&amp;"/dados/ultimos/1?formato=csv"),2,2),"série inválida ou sem acesso"))</f>
        <v/>
      </c>
    </row>
    <row r="6">
      <c r="A6" t="inlineStr">
        <is>
          <t>Aquisição de veículos — PF (% a.m.) [CONFIRA a série]</t>
        </is>
      </c>
      <c r="B6" t="inlineStr"/>
      <c r="C6">
        <f>IF(B6="","← informe a série",IFERROR(INDEX(IMPORTDATA("https://api.bcb.gov.br/dados/serie/bcdata.sgs."&amp;B6&amp;"/dados/ultimos/1?formato=csv"),2,2),"série inválida ou sem acesso"))</f>
        <v/>
      </c>
    </row>
    <row r="7">
      <c r="A7" t="inlineStr">
        <is>
          <t>Consignado INSS — PF (% a.m.) [CONFIRA a série]</t>
        </is>
      </c>
      <c r="B7" t="inlineStr"/>
      <c r="C7">
        <f>IF(B7="","← informe a série",IFERROR(INDEX(IMPORTDATA("https://api.bcb.gov.br/dados/serie/bcdata.sgs."&amp;B7&amp;"/dados/ultimos/1?formato=csv"),2,2),"série inválida ou sem acesso"))</f>
        <v/>
      </c>
    </row>
    <row r="9">
      <c r="A9" t="inlineStr">
        <is>
          <t>Série histórica (mês da contratação): use no navegador —</t>
        </is>
      </c>
    </row>
    <row r="10">
      <c r="A10" s="14" t="inlineStr">
        <is>
          <t>https://api.bcb.gov.br/dados/serie/bcdata.sgs.CODIGO/dados?formato=json&amp;dataInicial=01/MM/AAAA&amp;dataFinal=28/MM/AAAA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2026-07-04T20:39:13Z</dcterms:created>
  <dcterms:modified xsi:type="dcterms:W3CDTF">2026-07-04T20:39:13Z</dcterms:modified>
</cp:coreProperties>
</file>